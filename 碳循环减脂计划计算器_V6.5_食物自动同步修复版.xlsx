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ce79f38f8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6周期计划" sheetId="1" r:id="R98e9f8490964448f"/>
    <x:sheet xmlns:r="http://schemas.openxmlformats.org/officeDocument/2006/relationships" name="V6设置" sheetId="2" r:id="Re3f59511e2f346e0"/>
    <x:sheet xmlns:r="http://schemas.openxmlformats.org/officeDocument/2006/relationships" name="V6智能饮食计划" sheetId="3" r:id="R06ec5701008243ca"/>
    <x:sheet xmlns:r="http://schemas.openxmlformats.org/officeDocument/2006/relationships" name="V6周期饮食总览" sheetId="11" r:id="Rbcd5ffb6b4d84ae2"/>
    <x:sheet xmlns:r="http://schemas.openxmlformats.org/officeDocument/2006/relationships" name="食物数据库V3" sheetId="4" r:id="R7e93d4e181eb4226"/>
    <x:sheet xmlns:r="http://schemas.openxmlformats.org/officeDocument/2006/relationships" name="饮食计划V3" sheetId="5" r:id="Rac9314cf4a534e40"/>
    <x:sheet xmlns:r="http://schemas.openxmlformats.org/officeDocument/2006/relationships" name="使用说明" sheetId="6" r:id="Rc9f8ffc493934c56"/>
    <x:sheet xmlns:r="http://schemas.openxmlformats.org/officeDocument/2006/relationships" name="下拉列表V3" sheetId="7" r:id="R6bf0e51546954c76"/>
    <x:sheet xmlns:r="http://schemas.openxmlformats.org/officeDocument/2006/relationships" name="TDEE减脂计算" sheetId="8" r:id="Rdb18ff1f34b94453"/>
    <x:sheet xmlns:r="http://schemas.openxmlformats.org/officeDocument/2006/relationships" name="食物换算" sheetId="9" r:id="R2c9d0398e66f49c0"/>
    <x:sheet xmlns:r="http://schemas.openxmlformats.org/officeDocument/2006/relationships" name="体重趋势" sheetId="10" r:id="R55fa0dc04b4a4531"/>
  </x:sheets>
  <x:definedNames>
    <x:definedName name="Weekdays">下拉列表V3!$A$2:$A$31</x:definedName>
    <x:definedName name="CarbFoods">下拉列表V3!$B$2:$B$31</x:definedName>
    <x:definedName name="ProteinFoods">下拉列表V3!$C$2:$C$31</x:definedName>
    <x:definedName name="FatFoods">下拉列表V3!$D$2:$D$31</x:definedName>
    <x:definedName name="VegFoods">下拉列表V3!$E$2:$E$31</x:definedName>
    <x:definedName name="CycleDays">下拉列表V3!$F$2:$F$32</x:definedName>
    <x:definedName name="CycleTypes">下拉列表V3!$G$2:$G$4</x:definedName>
    <x:definedName name="YesNo">下拉列表V3!$H$2:$H$3</x:definedName>
    <x:definedName name="TrainingTimes">下拉列表V3!$I$2:$I$6</x:definedName>
    <x:definedName name="CycleLength">V6周期计划!$B$9</x:definedName>
  </x:definedNames>
</x:workbook>
</file>

<file path=xl/comments1.xml><?xml version="1.0" encoding="utf-8"?>
<x:comments xmlns:x="http://schemas.openxmlformats.org/spreadsheetml/2006/main">
  <x:authors>
    <x:author>cryst</x:author>
  </x:authors>
  <x:commentList>
    <x:comment ref="B9" authorId="0">
      <x:text>
        <x:r>
          <x:t>修改周期长度后，只计算编号不大于该长度的循环日。第8～31天已预填循环模板，可继续逐日调整。</x:t>
        </x:r>
      </x:text>
    </x:comment>
  </x:commentList>
</x:comments>
</file>

<file path=xl/comments2.xml><?xml version="1.0" encoding="utf-8"?>
<x:comments xmlns:x="http://schemas.openxmlformats.org/spreadsheetml/2006/main">
  <x:authors>
    <x:author>cryst</x:author>
  </x:authors>
  <x:commentList>
    <x:comment ref="F5" authorId="0">
      <x:text>
        <x:r>
          <x:t>自动公式：每100g估算热量 = 碳水×4 + 蛋白质×4 + 脂肪×9。因膳食纤维、糖醇及标签四舍五入，可能与包装标示略有差异。</x:t>
        </x:r>
      </x:text>
    </x:comment>
    <x:comment ref="J5" authorId="0">
      <x:text>
        <x:r>
          <x:t>参考值会因品牌、烹饪温度、时间和含水量变化。建议用同一批食物记录生重与熟重，按“熟重÷生重”替换。</x:t>
        </x:r>
      </x:text>
    </x:comment>
  </x:commentList>
</x:comments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<x:sst xmlns:x="http://schemas.openxmlformats.org/spreadsheetml/2006/main">
  <x:si>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碳循环减脂计划计算器 V6｜1～31天自定义循环</x:t>
  </x:si>
  <x:si>
    <x:t xml:space="preserve">① 基础参数与循环长度（黄色单元格可修改）</x:t>
  </x:si>
  <x:si>
    <x:t xml:space="preserve">体重（kg）</x:t>
  </x:si>
  <x:si>
    <x:t xml:space="preserve">当前体重；TDEE页会自动关联</x:t>
  </x:si>
  <x:si>
    <x:t xml:space="preserve">基础碳水（g/kg/天）</x:t>
  </x:si>
  <x:si>
    <x:t xml:space="preserve">用于计算整个循环的碳水总量</x:t>
  </x:si>
  <x:si>
    <x:t xml:space="preserve">蛋白质（g/kg/天）</x:t>
  </x:si>
  <x:si>
    <x:t xml:space="preserve">每个循环日固定</x:t>
  </x:si>
  <x:si>
    <x:t xml:space="preserve">基础脂肪（g/kg/天）</x:t>
  </x:si>
  <x:si>
    <x:t xml:space="preserve">用于计算默认计划日均热量</x:t>
  </x:si>
  <x:si>
    <x:t xml:space="preserve">计划日均热量（kcal）</x:t>
  </x:si>
  <x:si>
    <x:t xml:space="preserve">脂肪按日反向计算；也可直接改成目标热量</x:t>
  </x:si>
  <x:si>
    <x:t xml:space="preserve">循环长度（天）</x:t>
  </x:si>
  <x:si>
    <x:t xml:space="preserve">允许1～31天；默认保留原7天安排</x:t>
  </x:si>
  <x:si>
    <x:t xml:space="preserve">② 高/中/低碳分配（按实际天数和强度权重自动归一化）</x:t>
  </x:si>
  <x:si>
    <x:t xml:space="preserve">类型</x:t>
  </x:si>
  <x:si>
    <x:t xml:space="preserve">有效天数</x:t>
  </x:si>
  <x:si>
    <x:t xml:space="preserve">单日强度权重</x:t>
  </x:si>
  <x:si>
    <x:t xml:space="preserve">自动循环占比</x:t>
  </x:si>
  <x:si>
    <x:t xml:space="preserve">该类型循环碳水(g)</x:t>
  </x:si>
  <x:si>
    <x:t xml:space="preserve">每个该类日碳水(g)</x:t>
  </x:si>
  <x:si>
    <x:t xml:space="preserve">碳水(g/kg)</x:t>
  </x:si>
  <x:si>
    <x:t xml:space="preserve">每类日脂肪(g)</x:t>
  </x:si>
  <x:si>
    <x:t xml:space="preserve">状态</x:t>
  </x:si>
  <x:si>
    <x:t xml:space="preserve">周期汇总</x:t>
  </x:si>
  <x:si>
    <x:t xml:space="preserve">高碳日</x:t>
  </x:si>
  <x:si>
    <x:t xml:space="preserve">周期总碳水(g)</x:t>
  </x:si>
  <x:si>
    <x:t xml:space="preserve">日均热量</x:t>
  </x:si>
  <x:si>
    <x:t xml:space="preserve">中碳日</x:t>
  </x:si>
  <x:si>
    <x:t xml:space="preserve">周期总蛋白(g)</x:t>
  </x:si>
  <x:si>
    <x:t xml:space="preserve">训练日</x:t>
  </x:si>
  <x:si>
    <x:t xml:space="preserve">低碳日</x:t>
  </x:si>
  <x:si>
    <x:t xml:space="preserve">周期总脂肪(g)</x:t>
  </x:si>
  <x:si>
    <x:t xml:space="preserve">休息日</x:t>
  </x:si>
  <x:si>
    <x:t xml:space="preserve">权重检查</x:t>
  </x:si>
  <x:si>
    <x:t xml:space="preserve">已配置天数</x:t>
  </x:si>
  <x:si>
    <x:t xml:space="preserve">周期长度</x:t>
  </x:si>
  <x:si>
    <x:t xml:space="preserve">配置检查</x:t>
  </x:si>
  <x:si>
    <x:t xml:space="preserve">周期总热量(kcal)</x:t>
  </x:si>
  <x:si>
    <x:t xml:space="preserve">配置状态</x:t>
  </x:si>
  <x:si>
    <x:t xml:space="preserve">③ 循环日配置与每日营养目标（黄色列可逐日修改）</x:t>
  </x:si>
  <x:si>
    <x:t xml:space="preserve">循环日</x:t>
  </x:si>
  <x:si>
    <x:t xml:space="preserve">显示名称</x:t>
  </x:si>
  <x:si>
    <x:t xml:space="preserve">碳循环类型</x:t>
  </x:si>
  <x:si>
    <x:t xml:space="preserve">是否训练</x:t>
  </x:si>
  <x:si>
    <x:t xml:space="preserve">训练时间</x:t>
  </x:si>
  <x:si>
    <x:t xml:space="preserve">餐食模板</x:t>
  </x:si>
  <x:si>
    <x:t xml:space="preserve">碳水(g)</x:t>
  </x:si>
  <x:si>
    <x:t xml:space="preserve">蛋白质(g)</x:t>
  </x:si>
  <x:si>
    <x:t xml:space="preserve">脂肪(g)</x:t>
  </x:si>
  <x:si>
    <x:t xml:space="preserve">总热量(kcal)</x:t>
  </x:si>
  <x:si>
    <x:t xml:space="preserve">脂肪(g/kg)</x:t>
  </x:si>
  <x:si>
    <x:t xml:space="preserve">是</x:t>
  </x:si>
  <x:si>
    <x:t xml:space="preserve">晚饭前</x:t>
  </x:si>
  <x:si>
    <x:t xml:space="preserve">否</x:t>
  </x:si>
  <x:si>
    <x:t xml:space="preserve">-</x:t>
  </x:si>
  <x:si>
    <x:t xml:space="preserve">周期合计</x:t>
  </x:si>
  <x:si>
    <x:t xml:space="preserve">使用方法：先在B9设置循环长度，再逐日调整C～E列；周期可以是7、10、14、21或其他1～31天长度。</x:t>
  </x:si>
  <x:si>
    <x:t xml:space="preserve">碳水总量按“体重 × 基础碳水 × 循环长度”计算；默认高/中/低权重为1.60/0.90/0.60，并依据实际天数自动归一化，因此改变周期长度也不会丢失或重复分配碳水。</x:t>
  </x:si>
  <x:si>
    <x:t xml:space="preserve">训练日自动套用含纯碳水练前餐的模板，休息日自动取消练前餐。完整分餐目标请查看“V6周期饮食总览”，克数请查看“V6智能饮食计划”。</x:t>
  </x:si>
  <x:si>
    <x:t xml:space="preserve">碳循环减脂 V6｜循环联动与餐食分配设置</x:t>
  </x:si>
  <x:si>
    <x:t xml:space="preserve">① 循环与饮食联动（循环日在“V6周期计划”设置）</x:t>
  </x:si>
  <x:si>
    <x:t xml:space="preserve">当前循环长度（天）</x:t>
  </x:si>
  <x:si>
    <x:t xml:space="preserve">训练日数量</x:t>
  </x:si>
  <x:si>
    <x:t xml:space="preserve">休息日数量</x:t>
  </x:si>
  <x:si>
    <x:t xml:space="preserve">• 每个循环日独立设置高/中/低碳、是否训练及训练时间；修改循环长度后，只有启用的循环日参与计算。</x:t>
  </x:si>
  <x:si>
    <x:t xml:space="preserve">• 训练日自动使用下方训练日模板，并安排纯碳水练前餐；休息日自动使用休息日模板且取消练前餐。</x:t>
  </x:si>
  <x:si>
    <x:t xml:space="preserve">• 高/中/低碳默认权重1.60/0.90/0.60并按实际天数自动归一化；分餐比例按营养素分别分配，三列均应各自合计100%。</x:t>
  </x:si>
  <x:si>
    <x:t xml:space="preserve">② 训练日餐食分配（练前餐为纯碳水；晚饭/练后餐碳水固定40%）</x:t>
  </x:si>
  <x:si>
    <x:t xml:space="preserve">餐次</x:t>
  </x:si>
  <x:si>
    <x:t xml:space="preserve">碳水比例</x:t>
  </x:si>
  <x:si>
    <x:t xml:space="preserve">蛋白质比例</x:t>
  </x:si>
  <x:si>
    <x:t xml:space="preserve">脂肪比例</x:t>
  </x:si>
  <x:si>
    <x:t xml:space="preserve">备注</x:t>
  </x:si>
  <x:si>
    <x:t xml:space="preserve">早餐</x:t>
  </x:si>
  <x:si>
    <x:t xml:space="preserve">正常早餐</x:t>
  </x:si>
  <x:si>
    <x:t xml:space="preserve">午餐</x:t>
  </x:si>
  <x:si>
    <x:t xml:space="preserve">下午训练前保持饱腹</x:t>
  </x:si>
  <x:si>
    <x:t xml:space="preserve">练前餐</x:t>
  </x:si>
  <x:si>
    <x:t xml:space="preserve">纯碳水餐：训练前60~90分钟，只安排易消化主食</x:t>
  </x:si>
  <x:si>
    <x:t xml:space="preserve">晚饭/练后餐</x:t>
  </x:si>
  <x:si>
    <x:t xml:space="preserve">训练后重点补充；承接练前餐移出的蛋白质/脂肪</x:t>
  </x:si>
  <x:si>
    <x:t xml:space="preserve">合计</x:t>
  </x:si>
  <x:si>
    <x:t xml:space="preserve">③ 休息日餐食分配（练前餐自动取消）</x:t>
  </x:si>
  <x:si>
    <x:t xml:space="preserve">正常</x:t>
  </x:si>
  <x:si>
    <x:t xml:space="preserve">当天主餐</x:t>
  </x:si>
  <x:si>
    <x:t xml:space="preserve">休息日不需要，可留空</x:t>
  </x:si>
  <x:si>
    <x:t xml:space="preserve">晚饭</x:t>
  </x:si>
  <x:si>
    <x:t xml:space="preserve">④ V6 精确配餐与周期联动逻辑</x:t>
  </x:si>
  <x:si>
    <x:t xml:space="preserve">1）智能配餐以当前选择的循环日为入口，同时读取该日碳类型、训练状态、训练时间和三大营养素目标；</x:t>
  </x:si>
  <x:si>
    <x:t xml:space="preserve">2）非练前餐联立主食、蛋白食物、脂肪食物的营养矩阵；异常时自动回退到碳水→蛋白质→脂肪顺序残差；</x:t>
  </x:si>
  <x:si>
    <x:t xml:space="preserve">3）训练日练前餐只安排易消化主食；休息日练前餐为0，其他三餐按休息日比例分配；</x:t>
  </x:si>
  <x:si>
    <x:t xml:space="preserve">4）营养计算使用数据库口径，显示克数再依据“熟重÷生重系数”转换；换算不会重复计算营养；</x:t>
  </x:si>
  <x:si>
    <x:t xml:space="preserve">5）“V6周期饮食总览”显示整个循环每一天、每一餐的营养目标；“V6智能饮食计划”用于查看单日食物克数。</x:t>
  </x:si>
  <x:si>
    <x:t xml:space="preserve">碳循环减脂 V6.4｜按循环日智能配餐＋主选候补同列</x:t>
  </x:si>
  <x:si>
    <x:t xml:space="preserve">① 选择循环日（自动联动碳类型、训练状态与餐食模板）</x:t>
  </x:si>
  <x:si>
    <x:t xml:space="preserve">选择循环日</x:t>
  </x:si>
  <x:si>
    <x:t xml:space="preserve">碳水目标(g)</x:t>
  </x:si>
  <x:si>
    <x:t xml:space="preserve">蛋白质目标(g)</x:t>
  </x:si>
  <x:si>
    <x:t xml:space="preserve">脂肪目标(g)</x:t>
  </x:si>
  <x:si>
    <x:t xml:space="preserve">热量目标(kcal)</x:t>
  </x:si>
  <x:si>
    <x:t xml:space="preserve">循环日状态</x:t>
  </x:si>
  <x:si>
    <x:t xml:space="preserve">选择提示</x:t>
  </x:si>
  <x:si>
    <x:t xml:space="preserve">② 餐食比例（按当前循环日自动切换训练/休息模板）</x:t>
  </x:si>
  <x:si>
    <x:t xml:space="preserve">餐食状态</x:t>
  </x:si>
  <x:si>
    <x:t xml:space="preserve">③ 智能配餐（每餐主选与候补同列对照）</x:t>
  </x:si>
  <x:si>
    <x:t xml:space="preserve">方案</x:t>
  </x:si>
  <x:si>
    <x:t xml:space="preserve">碳水%</x:t>
  </x:si>
  <x:si>
    <x:t xml:space="preserve">蛋白%</x:t>
  </x:si>
  <x:si>
    <x:t xml:space="preserve">脂肪%</x:t>
  </x:si>
  <x:si>
    <x:t xml:space="preserve">主食选择</x:t>
  </x:si>
  <x:si>
    <x:t xml:space="preserve">主食口径</x:t>
  </x:si>
  <x:si>
    <x:t xml:space="preserve">主食克数</x:t>
  </x:si>
  <x:si>
    <x:t xml:space="preserve">蛋白选择</x:t>
  </x:si>
  <x:si>
    <x:t xml:space="preserve">蛋白口径</x:t>
  </x:si>
  <x:si>
    <x:t xml:space="preserve">蛋白克数</x:t>
  </x:si>
  <x:si>
    <x:t xml:space="preserve">脂肪选择</x:t>
  </x:si>
  <x:si>
    <x:t xml:space="preserve">脂肪克数</x:t>
  </x:si>
  <x:si>
    <x:t xml:space="preserve">蔬菜选择</x:t>
  </x:si>
  <x:si>
    <x:t xml:space="preserve">蔬菜克数</x:t>
  </x:si>
  <x:si>
    <x:t xml:space="preserve">本餐碳水</x:t>
  </x:si>
  <x:si>
    <x:t xml:space="preserve">本餐蛋白</x:t>
  </x:si>
  <x:si>
    <x:t xml:space="preserve">本餐脂肪</x:t>
  </x:si>
  <x:si>
    <x:t xml:space="preserve">本餐热量</x:t>
  </x:si>
  <x:si>
    <x:t xml:space="preserve">求解模式</x:t>
  </x:si>
  <x:si>
    <x:t xml:space="preserve">主选</x:t>
  </x:si>
  <x:si>
    <x:t xml:space="preserve">土豆（熟）</x:t>
  </x:si>
  <x:si>
    <x:t xml:space="preserve">熟重</x:t>
  </x:si>
  <x:si>
    <x:t xml:space="preserve">鸡蛋</x:t>
  </x:si>
  <x:si>
    <x:t xml:space="preserve">生重</x:t>
  </x:si>
  <x:si>
    <x:t xml:space="preserve">橄榄油</x:t>
  </x:si>
  <x:si>
    <x:t xml:space="preserve">胡萝卜</x:t>
  </x:si>
  <x:si>
    <x:t xml:space="preserve">候补1</x:t>
  </x:si>
  <x:si>
    <x:t xml:space="preserve">燕麦（干）</x:t>
  </x:si>
  <x:si>
    <x:t xml:space="preserve">脱脂牛奶</x:t>
  </x:si>
  <x:si>
    <x:t xml:space="preserve">腰果</x:t>
  </x:si>
  <x:si>
    <x:t xml:space="preserve">候补2</x:t>
  </x:si>
  <x:si>
    <x:t xml:space="preserve">全麦面包</x:t>
  </x:si>
  <x:si>
    <x:t xml:space="preserve">希腊酸奶（低脂）</x:t>
  </x:si>
  <x:si>
    <x:t xml:space="preserve">杏仁</x:t>
  </x:si>
  <x:si>
    <x:t xml:space="preserve">候补3</x:t>
  </x:si>
  <x:si>
    <x:t xml:space="preserve">熟米饭</x:t>
  </x:si>
  <x:si>
    <x:t xml:space="preserve">花生酱</x:t>
  </x:si>
  <x:si>
    <x:t xml:space="preserve">鸡胸肉（生）</x:t>
  </x:si>
  <x:si>
    <x:t xml:space="preserve">西兰花</x:t>
  </x:si>
  <x:si>
    <x:t xml:space="preserve">虾仁</x:t>
  </x:si>
  <x:si>
    <x:t xml:space="preserve">红薯（熟）</x:t>
  </x:si>
  <x:si>
    <x:t xml:space="preserve">金枪鱼（水浸）</x:t>
  </x:si>
  <x:si>
    <x:t xml:space="preserve">牛油果</x:t>
  </x:si>
  <x:si>
    <x:t xml:space="preserve">荞麦面（熟）</x:t>
  </x:si>
  <x:si>
    <x:t xml:space="preserve">④ 全天实际摄入 vs 当天目标</x:t>
  </x:si>
  <x:si>
    <x:t xml:space="preserve">项目</x:t>
  </x:si>
  <x:si>
    <x:t xml:space="preserve">目标</x:t>
  </x:si>
  <x:si>
    <x:t xml:space="preserve">实际</x:t>
  </x:si>
  <x:si>
    <x:t xml:space="preserve">差异（实际-目标）</x:t>
  </x:si>
  <x:si>
    <x:t xml:space="preserve">热量(kcal)</x:t>
  </x:si>
  <x:si>
    <x:t xml:space="preserve">⑤ 使用提示</x:t>
  </x:si>
  <x:si>
    <x:t xml:space="preserve">• 在B4选择循环日编号；碳类型、训练状态、训练时间、营养目标和餐食模板均自动来自“V6周期计划”。</x:t>
  </x:si>
  <x:si>
    <x:t xml:space="preserve">• 每个餐次按“主选、候补1、候补2、候补3”纵向排列；候补食物与主选位于相同列，便于直接比较。</x:t>
  </x:si>
  <x:si>
    <x:t xml:space="preserve">• 候补为主食、蛋白质、脂肪的单项等效替换，不代表候补1三种食物必须同时组成一整餐。</x:t>
  </x:si>
  <x:si>
    <x:t xml:space="preserve">• 训练日练前餐是纯碳水餐，只选择主食；休息日练前餐自动为0。主食天然携带的少量蛋白质/脂肪仍计入实际。</x:t>
  </x:si>
  <x:si>
    <x:t xml:space="preserve">• 主食口径与蛋白口径可选择“生重/熟重”；换算只改变建议称量克数，不改变同一份食物对应的营养素。</x:t>
  </x:si>
  <x:si>
    <x:t xml:space="preserve">• 熟重÷生重系数可在“食物数据库V3”J列修改；米饭、荞麦面、鸡胸肉建议按自家烹饪实测。</x:t>
  </x:si>
  <x:si>
    <x:t xml:space="preserve">• 替换候补后，应再次查看第④部分的实际合计；“精确/顺序”表示主选食物的联立求解模式。</x:t>
  </x:si>
  <x:si>
    <x:t xml:space="preserve">⑤ 候补替代（按当前精确解中各食物承担的主要营养素等效）</x:t>
  </x:si>
  <x:si>
    <x:t xml:space="preserve">主食候补1</x:t>
  </x:si>
  <x:si>
    <x:t xml:space="preserve">克数</x:t>
  </x:si>
  <x:si>
    <x:t xml:space="preserve">主食候补2</x:t>
  </x:si>
  <x:si>
    <x:t xml:space="preserve">主食候补3</x:t>
  </x:si>
  <x:si>
    <x:t xml:space="preserve">蛋白候补1</x:t>
  </x:si>
  <x:si>
    <x:t xml:space="preserve">蛋白候补2</x:t>
  </x:si>
  <x:si>
    <x:t xml:space="preserve">蛋白候补3</x:t>
  </x:si>
  <x:si>
    <x:t xml:space="preserve">脂肪候补1</x:t>
  </x:si>
  <x:si>
    <x:t xml:space="preserve">脂肪候补2</x:t>
  </x:si>
  <x:si>
    <x:t xml:space="preserve">脂肪候补3</x:t>
  </x:si>
  <x:si>
    <x:t xml:space="preserve">碳循环减脂 V6｜整个循环的每日分餐营养目标</x:t>
  </x:si>
  <x:si>
    <x:t xml:space="preserve">循环长度改变后，本表自动启用或停用对应循环日；训练日含纯碳水练前餐</x:t>
  </x:si>
  <x:si>
    <x:t xml:space="preserve">名称</x:t>
  </x:si>
  <x:si>
    <x:t xml:space="preserve">碳类型</x:t>
  </x:si>
  <x:si>
    <x:t xml:space="preserve">训练</x:t>
  </x:si>
  <x:si>
    <x:t xml:space="preserve">日碳水</x:t>
  </x:si>
  <x:si>
    <x:t xml:space="preserve">日蛋白</x:t>
  </x:si>
  <x:si>
    <x:t xml:space="preserve">日脂肪</x:t>
  </x:si>
  <x:si>
    <x:t xml:space="preserve">早餐碳水</x:t>
  </x:si>
  <x:si>
    <x:t xml:space="preserve">早餐蛋白</x:t>
  </x:si>
  <x:si>
    <x:t xml:space="preserve">早餐脂肪</x:t>
  </x:si>
  <x:si>
    <x:t xml:space="preserve">午餐碳水</x:t>
  </x:si>
  <x:si>
    <x:t xml:space="preserve">午餐蛋白</x:t>
  </x:si>
  <x:si>
    <x:t xml:space="preserve">午餐脂肪</x:t>
  </x:si>
  <x:si>
    <x:t xml:space="preserve">练前碳水</x:t>
  </x:si>
  <x:si>
    <x:t xml:space="preserve">练前蛋白</x:t>
  </x:si>
  <x:si>
    <x:t xml:space="preserve">练前脂肪</x:t>
  </x:si>
  <x:si>
    <x:t xml:space="preserve">晚/练后碳水</x:t>
  </x:si>
  <x:si>
    <x:t xml:space="preserve">晚/练后蛋白</x:t>
  </x:si>
  <x:si>
    <x:t xml:space="preserve">晚/练后脂肪</x:t>
  </x:si>
  <x:si>
    <x:t xml:space="preserve">说明：本表展示营养素目标，不直接指定食物。选择具体食物、称重口径和查看克数请进入“V6智能饮食计划”。</x:t>
  </x:si>
  <x:si>
    <x:t xml:space="preserve">训练日：早餐/午餐/纯碳水练前餐/晚饭或练后餐；休息日：早餐/午餐/晚餐，练前餐三项自动为0。</x:t>
  </x:si>
  <x:si>
    <x:t xml:space="preserve">如果修改V6设置中的分餐比例，请确认碳水、蛋白质和脂肪各列均合计100%，本总览会同步重算。</x:t>
  </x:si>
  <x:si>
    <x:t xml:space="preserve">碳循环减脂 V6｜可编辑食物营养与生熟重数据库</x:t>
  </x:si>
  <x:si>
    <x:t xml:space="preserve">说明：营养数据按“营养数据口径”的每100g填写；F列按碳水×4＋蛋白质×4＋脂肪×9自动估算热量。V6可按建议或自选称重口径显示克数。</x:t>
  </x:si>
  <x:si>
    <x:t xml:space="preserve">类别</x:t>
  </x:si>
  <x:si>
    <x:t xml:space="preserve">食物名称</x:t>
  </x:si>
  <x:si>
    <x:t xml:space="preserve">估算热量(kcal)</x:t>
  </x:si>
  <x:si>
    <x:t xml:space="preserve">默认单位</x:t>
  </x:si>
  <x:si>
    <x:t xml:space="preserve">营养数据口径</x:t>
  </x:si>
  <x:si>
    <x:t xml:space="preserve">建议称重口径</x:t>
  </x:si>
  <x:si>
    <x:t xml:space="preserve">熟重÷生重系数</x:t>
  </x:si>
  <x:si>
    <x:t xml:space="preserve">主食</x:t>
  </x:si>
  <x:si>
    <x:t xml:space="preserve">g</x:t>
  </x:si>
  <x:si>
    <x:t xml:space="preserve">常见熟重数据；系数受米种和加水量影响</x:t>
  </x:si>
  <x:si>
    <x:t xml:space="preserve">蒸/煮后参考</x:t>
  </x:si>
  <x:si>
    <x:t xml:space="preserve">蒸熟参考</x:t>
  </x:si>
  <x:si>
    <x:t xml:space="preserve">干重营养；熟粥吸水量差异大</x:t>
  </x:si>
  <x:si>
    <x:t xml:space="preserve">无需换算</x:t>
  </x:si>
  <x:si>
    <x:t xml:space="preserve">不同品牌差异较大</x:t>
  </x:si>
  <x:si>
    <x:t xml:space="preserve">玉米（熟）</x:t>
  </x:si>
  <x:si>
    <x:t xml:space="preserve">可食部分参考</x:t>
  </x:si>
  <x:si>
    <x:t xml:space="preserve">意面（熟）</x:t>
  </x:si>
  <x:si>
    <x:t xml:space="preserve">熟重；系数受软硬程度影响</x:t>
  </x:si>
  <x:si>
    <x:t xml:space="preserve">蛋白质</x:t>
  </x:si>
  <x:si>
    <x:t xml:space="preserve">去皮鸡胸常见熟重约为生重的75%</x:t>
  </x:si>
  <x:si>
    <x:t xml:space="preserve">鸡胸肉（熟）</x:t>
  </x:si>
  <x:si>
    <x:t xml:space="preserve">熟重营养；可反算生重</x:t>
  </x:si>
  <x:si>
    <x:t xml:space="preserve">全蛋</x:t>
  </x:si>
  <x:si>
    <x:t xml:space="preserve">100ml≈100g</x:t>
  </x:si>
  <x:si>
    <x:t xml:space="preserve">按品牌修改</x:t>
  </x:si>
  <x:si>
    <x:t xml:space="preserve">沥干后参考</x:t>
  </x:si>
  <x:si>
    <x:t xml:space="preserve">生重参考；熟制失水因方法而异</x:t>
  </x:si>
  <x:si>
    <x:t xml:space="preserve">脂肪</x:t>
  </x:si>
  <x:si>
    <x:t xml:space="preserve">纯脂肪来源</x:t>
  </x:si>
  <x:si>
    <x:t xml:space="preserve">可食部分</x:t>
  </x:si>
  <x:si>
    <x:t xml:space="preserve">坚果</x:t>
  </x:si>
  <x:si>
    <x:t xml:space="preserve">无糖型参考</x:t>
  </x:si>
  <x:si>
    <x:t xml:space="preserve">蔬菜</x:t>
  </x:si>
  <x:si>
    <x:t xml:space="preserve">按可食部分称重；需要时可自行增加换算系数</x:t>
  </x:si>
  <x:si>
    <x:t xml:space="preserve">生菜</x:t>
  </x:si>
  <x:si>
    <x:t xml:space="preserve">菠菜</x:t>
  </x:si>
  <x:si>
    <x:t xml:space="preserve">番茄</x:t>
  </x:si>
  <x:si>
    <x:t xml:space="preserve">黄瓜</x:t>
  </x:si>
  <x:si>
    <x:t xml:space="preserve">熟重参考；系数受品牌和煮制时间影响</x:t>
  </x:si>
  <x:si>
    <x:t xml:space="preserve">坚果，脂肪来源之一</x:t>
  </x:si>
  <x:si>
    <x:t xml:space="preserve">全脂牛奶</x:t>
  </x:si>
  <x:si>
    <x:t xml:space="preserve">使用建议</x:t>
  </x:si>
  <x:si>
    <x:t xml:space="preserve">1）修改食物营养数据时，只需填写 C～E 列碳水、蛋白质和脂肪；F 列会按 4/4/9 自动估算热量。并请同步确认 H 列“营养数据口径”与 J 列“熟重÷生重系数”。</x:t>
  </x:si>
  <x:si>
    <x:t xml:space="preserve">2）V6显示克数会按 I 列默认口径或智能计划中的自选口径转换；营养计算仍回到 H 列基准口径，避免生熟重量重复计入。</x:t>
  </x:si>
  <x:si>
    <x:t xml:space="preserve">3）可在第32～37行新增食物；若需要加入下拉菜单，请同步填写“下拉列表V3”中的对应类别。</x:t>
  </x:si>
  <x:si>
    <x:t xml:space="preserve">基础三餐参考｜按V6循环日读取目标（训练日建议优先使用V6智能饮食计划）</x:t>
  </x:si>
  <x:si>
    <x:t xml:space="preserve">① 选择当天（黄色可修改）</x:t>
  </x:si>
  <x:si>
    <x:t xml:space="preserve">② 每餐分配比例（可修改；默认早餐30% / 午餐40% / 晚餐30%）</x:t>
  </x:si>
  <x:si>
    <x:t xml:space="preserve">晚餐</x:t>
  </x:si>
  <x:si>
    <x:t xml:space="preserve">③ 自动生成每日三餐（下拉选择不同食物即可自动换算克数）</x:t>
  </x:si>
  <x:si>
    <x:t xml:space="preserve">比例</x:t>
  </x:si>
  <x:si>
    <x:t xml:space="preserve">主食碳水</x:t>
  </x:si>
  <x:si>
    <x:t xml:space="preserve">主食蛋白</x:t>
  </x:si>
  <x:si>
    <x:t xml:space="preserve">主食脂肪</x:t>
  </x:si>
  <x:si>
    <x:t xml:space="preserve">蛋白碳水</x:t>
  </x:si>
  <x:si>
    <x:t xml:space="preserve">蛋白蛋白</x:t>
  </x:si>
  <x:si>
    <x:t xml:space="preserve">蛋白脂肪</x:t>
  </x:si>
  <x:si>
    <x:t xml:space="preserve">脂肪碳水</x:t>
  </x:si>
  <x:si>
    <x:t xml:space="preserve">脂肪蛋白</x:t>
  </x:si>
  <x:si>
    <x:t xml:space="preserve">脂肪脂肪</x:t>
  </x:si>
  <x:si>
    <x:t xml:space="preserve">蔬菜碳水</x:t>
  </x:si>
  <x:si>
    <x:t xml:space="preserve">蔬菜蛋白</x:t>
  </x:si>
  <x:si>
    <x:t xml:space="preserve">蔬菜脂肪</x:t>
  </x:si>
  <x:si>
    <x:t xml:space="preserve">全天实际合计</x:t>
  </x:si>
  <x:si>
    <x:t xml:space="preserve">④ 实际摄入 vs 当天目标</x:t>
  </x:si>
  <x:si>
    <x:t xml:space="preserve">⑤ 候补替代方案：同一餐可选择不同主食/蛋白/脂肪，自动计算等效克数</x:t>
  </x:si>
  <x:si>
    <x:t xml:space="preserve">等效克数</x:t>
  </x:si>
  <x:si>
    <x:t xml:space="preserve">说明</x:t>
  </x:si>
  <x:si>
    <x:t xml:space="preserve">候补替代的“等效克数”按该餐分配的主要营养目标计算：主食按碳水、蛋白食物按蛋白质、脂肪来源按脂肪。不同食物的附带碳水/蛋白/脂肪不同，因此最终实际总量请看上方“实际摄入 vs 目标”。</x:t>
  </x:si>
  <x:si>
    <x:t xml:space="preserve">使用说明</x:t>
  </x:si>
  <x:si>
    <x:t xml:space="preserve">1. 周期安排</x:t>
  </x:si>
  <x:si>
    <x:t xml:space="preserve">在“V6周期计划”设置1～31天循环长度，再逐日指定高/中/低碳、训练状态和训练时间；不再绑定星期。</x:t>
  </x:si>
  <x:si>
    <x:t xml:space="preserve">2. 图片比例</x:t>
  </x:si>
  <x:si>
    <x:t xml:space="preserve">高/中/低碳默认单日强度权重为1.60/0.90/0.60，可自行修改；系统依据实际天数自动归一化，无论周期长度如何变化，循环碳水总量都保持一致。</x:t>
  </x:si>
  <x:si>
    <x:t xml:space="preserve">3. 蛋白质</x:t>
  </x:si>
  <x:si>
    <x:t xml:space="preserve">每天固定 = 体重 × 蛋白质 g/kg。</x:t>
  </x:si>
  <x:si>
    <x:t xml:space="preserve">4. 脂肪自动调整</x:t>
  </x:si>
  <x:si>
    <x:t xml:space="preserve">脂肪 =（计划日均热量 − 当天碳水×4 − 蛋白质×4）÷9，最低为0，使每天热量基本一致。</x:t>
  </x:si>
  <x:si>
    <x:t xml:space="preserve">5. V2新增</x:t>
  </x:si>
  <x:si>
    <x:t xml:space="preserve">增加TDEE估算、减脂热量参考、食物等价换算、12周体重/腰围趋势图。</x:t>
  </x:si>
  <x:si>
    <x:t xml:space="preserve">6. 如何使用</x:t>
  </x:si>
  <x:si>
    <x:t xml:space="preserve">先修改“V6周期计划”的黄色参数和循环日配置；再到“V6周期饮食总览”核对整周期分餐，最后在“V6智能饮食计划”选择循环日查看食物克数。</x:t>
  </x:si>
  <x:si>
    <x:t xml:space="preserve">7. 注意</x:t>
  </x:si>
  <x:si>
    <x:t xml:space="preserve">食物营养数据因品牌、烹饪方式和生熟重量而不同，建议以包装标签和实际称重为准。</x:t>
  </x:si>
  <x:si>
    <x:t xml:space="preserve">8. V3新增</x:t>
  </x:si>
  <x:si>
    <x:t xml:space="preserve">“饮食计划V3”和“食物换算”已改为按循环日读取目标；训练日的纯碳水练前餐与精确克数以“V6智能饮食计划”为准。</x:t>
  </x:si>
  <x:si>
    <x:t xml:space="preserve">9. 候补替代</x:t>
  </x:si>
  <x:si>
    <x:t xml:space="preserve">每餐提供3种主食、3种蛋白、3种脂肪候补，可直接通过下拉菜单更换并查看等效克数。</x:t>
  </x:si>
  <x:si>
    <x:t xml:space="preserve">10. 自定义食物</x:t>
  </x:si>
  <x:si>
    <x:t xml:space="preserve">可在“食物数据库V3”修改每100g碳水、蛋白质、脂肪和热量；主计划会自动重新计算。新增食物后如需加入下拉菜单，请同步填写“下拉列表V3”。</x:t>
  </x:si>
  <x:si>
    <x:t xml:space="preserve">11. V4训练日配餐</x:t>
  </x:si>
  <x:si>
    <x:t xml:space="preserve">训练安排不再固定到周一至周日。每个循环日独立设置是否训练；训练日自动增加纯碳水练前餐，休息日自动取消。</x:t>
  </x:si>
  <x:si>
    <x:t xml:space="preserve">12. V4新增食物</x:t>
  </x:si>
  <x:si>
    <x:t xml:space="preserve">主食新增荞麦面（熟）；脂肪来源新增腰果；蔬菜新增胡萝卜，均可在食物数据库中自行修改营养数据。</x:t>
  </x:si>
  <x:si>
    <x:t xml:space="preserve">13. V5精确联立配餐</x:t>
  </x:si>
  <x:si>
    <x:t xml:space="preserve">主食、蛋白食物和脂肪食物不再简单各算各的，而是联立三大营养素共同求解；无法得到合理非负解时自动回退到顺序残差法。</x:t>
  </x:si>
  <x:si>
    <x:t xml:space="preserve">14. V5生熟重换算</x:t>
  </x:si>
  <x:si>
    <x:t xml:space="preserve">在“V6智能饮食计划”中可为主食和蛋白食物选择生重/熟重；数据库J列为“熟重÷生重”系数，可按自家烹饪实测修改。</x:t>
  </x:si>
  <x:si>
    <x:t xml:space="preserve">15. 练前纯碳水</x:t>
  </x:si>
  <x:si>
    <x:t xml:space="preserve">训练日练前餐只安排易消化主食，蛋白和脂肪目标为0；其他三餐承接全天蛋白和脂肪。休息日不安排练前餐。</x:t>
  </x:si>
  <x:si>
    <x:t xml:space="preserve">16. V6自定义周期</x:t>
  </x:si>
  <x:si>
    <x:t xml:space="preserve">循环长度支持1～31天。第8～31天已按原7天模板循环预填，增大周期长度后可直接使用，也可逐日修改。</x:t>
  </x:si>
  <x:si>
    <x:t xml:space="preserve">17. V6饮食同步</x:t>
  </x:si>
  <x:si>
    <x:t xml:space="preserve">碳类型决定每日三大营养素目标，训练状态决定训练/休息餐食模板；两者均由同一个循环日配置驱动。</x:t>
  </x:si>
  <x:si>
    <x:t xml:space="preserve">18. V6整周期总览</x:t>
  </x:si>
  <x:si>
    <x:t xml:space="preserve">新增“V6周期饮食总览”，按循环日列出全天与四餐营养目标；单日食物克数继续由智能配餐联立求解。</x:t>
  </x:si>
  <x:si>
    <x:t xml:space="preserve">星期</x:t>
  </x:si>
  <x:si>
    <x:t xml:space="preserve">周一</x:t>
  </x:si>
  <x:si>
    <x:t xml:space="preserve">周二</x:t>
  </x:si>
  <x:si>
    <x:t xml:space="preserve">早餐前</x:t>
  </x:si>
  <x:si>
    <x:t xml:space="preserve">周三</x:t>
  </x:si>
  <x:si>
    <x:t xml:space="preserve">午饭前</x:t>
  </x:si>
  <x:si>
    <x:t xml:space="preserve">周四</x:t>
  </x:si>
  <x:si>
    <x:t xml:space="preserve">周五</x:t>
  </x:si>
  <x:si>
    <x:t xml:space="preserve">其他</x:t>
  </x:si>
  <x:si>
    <x:t xml:space="preserve">周六</x:t>
  </x:si>
  <x:si>
    <x:t xml:space="preserve">周日</x:t>
  </x:si>
  <x:si>
    <x:t xml:space="preserve">TDEE 与减脂热量参考</x:t>
  </x:si>
  <x:si>
    <x:t xml:space="preserve">① 输入个人参数（黄色可修改）</x:t>
  </x:si>
  <x:si>
    <x:t xml:space="preserve">性别</x:t>
  </x:si>
  <x:si>
    <x:t xml:space="preserve">男</x:t>
  </x:si>
  <x:si>
    <x:t xml:space="preserve">男/女</x:t>
  </x:si>
  <x:si>
    <x:t xml:space="preserve">年龄（岁）</x:t>
  </x:si>
  <x:si>
    <x:t xml:space="preserve">例如30</x:t>
  </x:si>
  <x:si>
    <x:t xml:space="preserve">身高（cm）</x:t>
  </x:si>
  <x:si>
    <x:t xml:space="preserve">厘米</x:t>
  </x:si>
  <x:si>
    <x:t xml:space="preserve">体重（kg)</x:t>
  </x:si>
  <x:si>
    <x:t xml:space="preserve">自动关联主表体重</x:t>
  </x:si>
  <x:si>
    <x:t xml:space="preserve">活动系数</x:t>
  </x:si>
  <x:si>
    <x:t xml:space="preserve">久坐1.2；轻度1.375；中等1.55；高1.725；很高1.9</x:t>
  </x:si>
  <x:si>
    <x:t xml:space="preserve">每日热量缺口（kcal）</x:t>
  </x:si>
  <x:si>
    <x:t xml:space="preserve">常用参考300-500</x:t>
  </x:si>
  <x:si>
    <x:t xml:space="preserve">② 自动计算结果</x:t>
  </x:si>
  <x:si>
    <x:t xml:space="preserve">基础代谢 BMR (kcal)</x:t>
  </x:si>
  <x:si>
    <x:t xml:space="preserve">TDEE (kcal)</x:t>
  </x:si>
  <x:si>
    <x:t xml:space="preserve">建议减脂目标热量 (kcal)</x:t>
  </x:si>
  <x:si>
    <x:t xml:space="preserve">当前主计划日均热量</x:t>
  </x:si>
  <x:si>
    <x:t xml:space="preserve">主计划与建议差额</x:t>
  </x:si>
  <x:si>
    <x:t xml:space="preserve">提示：TDEE 为估算值，不是精确消耗。你可以把“建议减脂目标热量”作为参考，再决定是否修改主表中的“计划日均热量”。</x:t>
  </x:si>
  <x:si>
    <x:t xml:space="preserve">食物等价换算｜按V6循环日读取目标</x:t>
  </x:si>
  <x:si>
    <x:t xml:space="preserve">① 选择当天</x:t>
  </x:si>
  <x:si>
    <x:t xml:space="preserve">② 常用食物营养（自动读取“食物数据库V3”；请在数据库页修改）</x:t>
  </x:si>
  <x:si>
    <x:t xml:space="preserve">食物</x:t>
  </x:si>
  <x:si>
    <x:t xml:space="preserve">满足当天碳水需吃(g)</x:t>
  </x:si>
  <x:si>
    <x:t xml:space="preserve">满足当天蛋白需吃(g)</x:t>
  </x:si>
  <x:si>
    <x:t xml:space="preserve">满足当天脂肪需吃(g)</x:t>
  </x:si>
  <x:si>
    <x:t xml:space="preserve">主要碳水来源</x:t>
  </x:si>
  <x:si>
    <x:t xml:space="preserve">碳水+蛋白</x:t>
  </x:si>
  <x:si>
    <x:t xml:space="preserve">主要蛋白来源</x:t>
  </x:si>
  <x:si>
    <x:t xml:space="preserve">蛋白+脂肪</x:t>
  </x:si>
  <x:si>
    <x:t xml:space="preserve">蛋白+碳水</x:t>
  </x:si>
  <x:si>
    <x:t xml:space="preserve">主要脂肪来源</x:t>
  </x:si>
  <x:si>
    <x:t xml:space="preserve">③ 快速参考（单一食物等价，不代表推荐的一餐搭配）</x:t>
  </x:si>
  <x:si>
    <x:t xml:space="preserve">当天碳水约等于多少熟米饭(g)</x:t>
  </x:si>
  <x:si>
    <x:t xml:space="preserve">当天蛋白约等于多少鸡胸肉(g)</x:t>
  </x:si>
  <x:si>
    <x:t xml:space="preserve">当天脂肪约等于多少橄榄油(g)</x:t>
  </x:si>
  <x:si>
    <x:t xml:space="preserve">减脂进度记录与趋势</x:t>
  </x:si>
  <x:si>
    <x:t xml:space="preserve">周次</x:t>
  </x:si>
  <x:si>
    <x:t xml:space="preserve">日期</x:t>
  </x:si>
  <x:si>
    <x:t xml:space="preserve">体重(kg)</x:t>
  </x:si>
  <x:si>
    <x:t xml:space="preserve">腰围(cm)</x:t>
  </x:si>
  <x:si>
    <x:t xml:space="preserve">平均日摄入(kcal)</x:t>
  </x:si>
  <x:si>
    <x:t xml:space="preserve">363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</x:si>
</x:sst>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"/>
    <x:numFmt numFmtId="177" formatCode="0.000"/>
    <x:numFmt numFmtId="178" formatCode="0.0%"/>
  </x:numFmts>
  <x:fonts count="40">
    <x:font>
      <x:sz val="11"/>
      <x:color theme="1"/>
      <x:name val="宋体"/>
    </x:font>
    <x:font>
      <x:b/>
      <x:sz val="20"/>
      <x:color rgb="FFFFFFFF"/>
      <x:name val="宋体"/>
    </x:font>
    <x:font>
      <x:b/>
      <x:sz val="11"/>
      <x:color rgb="FFFFFFFF"/>
      <x:name val="宋体"/>
    </x:font>
    <x:font>
      <x:b/>
      <x:sz val="12"/>
      <x:color rgb="FFFFFFFF"/>
      <x:name val="宋体"/>
    </x:font>
    <x:font>
      <x:b/>
      <x:sz val="11"/>
      <x:name val="宋体"/>
    </x:font>
    <x:font>
      <x:b/>
      <x:sz val="10"/>
      <x:color rgb="FFFFFFFF"/>
      <x:name val="Microsoft YaHei"/>
    </x:font>
    <x:font>
      <x:sz val="10"/>
      <x:color theme="1"/>
      <x:name val="Microsoft YaHei"/>
    </x:font>
    <x:font>
      <x:b/>
      <x:sz val="11"/>
      <x:color theme="1"/>
      <x:name val="宋体"/>
    </x:font>
    <x:font>
      <x:b/>
      <x:sz val="18"/>
      <x:color rgb="FFFFFFFF"/>
      <x:name val="宋体"/>
    </x:font>
    <x:font>
      <x:i/>
      <x:sz val="11"/>
      <x:color rgb="FF666666"/>
      <x:name val="宋体"/>
    </x:font>
    <x:font>
      <x:sz val="11"/>
      <x:color rgb="FF000000"/>
      <x:name val="宋体"/>
    </x:font>
    <x:font>
      <x:b/>
      <x:sz val="11"/>
      <x:color rgb="FFFFFFFF"/>
      <x:name val="Microsoft YaHei"/>
    </x:font>
    <x:font>
      <x:b/>
      <x:sz val="18"/>
      <x:color rgb="FFFFFFFF"/>
      <x:name val="Microsoft YaHei"/>
    </x:font>
    <x:font>
      <x:b/>
      <x:sz val="10"/>
      <x:color theme="1"/>
      <x:name val="Microsoft YaHei"/>
    </x:font>
    <x:font>
      <x:b/>
      <x:sz val="11"/>
      <x:color rgb="FFFFFFFF"/>
      <x:name val="微软雅黑"/>
    </x:font>
    <x:font>
      <x:sz val="10"/>
      <x:color theme="1"/>
      <x:name val="微软雅黑"/>
    </x:font>
    <x:font>
      <x:b/>
      <x:sz val="10"/>
      <x:color theme="1"/>
      <x:name val="微软雅黑"/>
    </x:font>
    <x:font>
      <x:sz val="11"/>
      <x:color theme="1"/>
      <x:name val="微软雅黑"/>
    </x:font>
    <x:font>
      <x:b/>
      <x:sz val="10"/>
      <x:color rgb="FFFFFFFF"/>
      <x:name val="微软雅黑"/>
    </x:font>
    <x:font>
      <x:sz val="11"/>
      <x:color rgb="FF666666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9"/>
      <x:name val="宋体"/>
    </x:font>
  </x:fonts>
  <x:fills count="45">
    <x:fill>
      <x:patternFill patternType="none"/>
    </x:fill>
    <x:fill>
      <x:patternFill patternType="gray125"/>
    </x:fill>
    <x:fill>
      <x:patternFill patternType="solid">
        <x:fgColor rgb="FF3B2A59"/>
      </x:patternFill>
    </x:fill>
    <x:fill>
      <x:patternFill patternType="solid">
        <x:fgColor rgb="FFD99A00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69E00"/>
      </x:patternFill>
    </x:fill>
    <x:fill>
      <x:patternFill patternType="solid">
        <x:fgColor rgb="FF3F2A56"/>
      </x:patternFill>
    </x:fill>
    <x:fill>
      <x:patternFill patternType="solid">
        <x:fgColor rgb="FF5B3F7A"/>
      </x:patternFill>
    </x:fill>
    <x:fill>
      <x:patternFill patternType="solid">
        <x:fgColor rgb="FFF2F2F2"/>
      </x:patternFill>
    </x:fill>
    <x:fill>
      <x:patternFill patternType="solid">
        <x:fgColor rgb="FFEDE7F6"/>
      </x:patternFill>
    </x:fill>
    <x:fill>
      <x:patternFill patternType="solid">
        <x:fgColor rgb="FFEDEDED"/>
      </x:patternFill>
    </x:fill>
    <x:fill>
      <x:patternFill patternType="solid">
        <x:fgColor rgb="FFDAEDDD"/>
      </x:patternFill>
    </x:fill>
    <x:fill>
      <x:patternFill patternType="solid">
        <x:fgColor rgb="FFFFFFFF"/>
      </x:patternFill>
    </x:fill>
    <x:fill>
      <x:patternFill patternType="solid">
        <x:fgColor rgb="FFE6E6E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0" fillId="15" borderId="5" applyNumberFormat="0" applyFont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0" borderId="0" applyNumberFormat="0" applyFill="0" applyBorder="0" applyAlignment="0" applyProtection="0">
      <x:alignment vertical="center"/>
    </x:xf>
    <x:xf numFmtId="0" fontId="25" fillId="0" borderId="6" applyNumberFormat="0" applyFill="0" applyAlignment="0" applyProtection="0">
      <x:alignment vertical="center"/>
    </x:xf>
    <x:xf numFmtId="0" fontId="26" fillId="0" borderId="6" applyNumberFormat="0" applyFill="0" applyAlignment="0" applyProtection="0">
      <x:alignment vertical="center"/>
    </x:xf>
    <x:xf numFmtId="0" fontId="27" fillId="0" borderId="7" applyNumberFormat="0" applyFill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28" fillId="16" borderId="8" applyNumberFormat="0" applyAlignment="0" applyProtection="0">
      <x:alignment vertical="center"/>
    </x:xf>
    <x:xf numFmtId="0" fontId="29" fillId="9" borderId="9" applyNumberFormat="0" applyAlignment="0" applyProtection="0">
      <x:alignment vertical="center"/>
    </x:xf>
    <x:xf numFmtId="0" fontId="30" fillId="9" borderId="8" applyNumberFormat="0" applyAlignment="0" applyProtection="0">
      <x:alignment vertical="center"/>
    </x:xf>
    <x:xf numFmtId="0" fontId="31" fillId="17" borderId="10" applyNumberFormat="0" applyAlignment="0" applyProtection="0">
      <x:alignment vertical="center"/>
    </x:xf>
    <x:xf numFmtId="0" fontId="32" fillId="0" borderId="11" applyNumberFormat="0" applyFill="0" applyAlignment="0" applyProtection="0">
      <x:alignment vertical="center"/>
    </x:xf>
    <x:xf numFmtId="0" fontId="33" fillId="0" borderId="12" applyNumberFormat="0" applyFill="0" applyAlignment="0" applyProtection="0">
      <x:alignment vertical="center"/>
    </x:xf>
    <x:xf numFmtId="0" fontId="34" fillId="18" borderId="0" applyNumberFormat="0" applyBorder="0" applyAlignment="0" applyProtection="0">
      <x:alignment vertical="center"/>
    </x:xf>
    <x:xf numFmtId="0" fontId="35" fillId="19" borderId="0" applyNumberFormat="0" applyBorder="0" applyAlignment="0" applyProtection="0">
      <x:alignment vertical="center"/>
    </x:xf>
    <x:xf numFmtId="0" fontId="36" fillId="20" borderId="0" applyNumberFormat="0" applyBorder="0" applyAlignment="0" applyProtection="0">
      <x:alignment vertical="center"/>
    </x:xf>
    <x:xf numFmtId="0" fontId="37" fillId="21" borderId="0" applyNumberFormat="0" applyBorder="0" applyAlignment="0" applyProtection="0">
      <x:alignment vertical="center"/>
    </x:xf>
    <x:xf numFmtId="0" fontId="38" fillId="22" borderId="0" applyNumberFormat="0" applyBorder="0" applyAlignment="0" applyProtection="0">
      <x:alignment vertical="center"/>
    </x:xf>
    <x:xf numFmtId="0" fontId="38" fillId="23" borderId="0" applyNumberFormat="0" applyBorder="0" applyAlignment="0" applyProtection="0">
      <x:alignment vertical="center"/>
    </x:xf>
    <x:xf numFmtId="0" fontId="37" fillId="24" borderId="0" applyNumberFormat="0" applyBorder="0" applyAlignment="0" applyProtection="0">
      <x:alignment vertical="center"/>
    </x:xf>
    <x:xf numFmtId="0" fontId="37" fillId="25" borderId="0" applyNumberFormat="0" applyBorder="0" applyAlignment="0" applyProtection="0">
      <x:alignment vertical="center"/>
    </x:xf>
    <x:xf numFmtId="0" fontId="38" fillId="26" borderId="0" applyNumberFormat="0" applyBorder="0" applyAlignment="0" applyProtection="0">
      <x:alignment vertical="center"/>
    </x:xf>
    <x:xf numFmtId="0" fontId="38" fillId="27" borderId="0" applyNumberFormat="0" applyBorder="0" applyAlignment="0" applyProtection="0">
      <x:alignment vertical="center"/>
    </x:xf>
    <x:xf numFmtId="0" fontId="37" fillId="28" borderId="0" applyNumberFormat="0" applyBorder="0" applyAlignment="0" applyProtection="0">
      <x:alignment vertical="center"/>
    </x:xf>
    <x:xf numFmtId="0" fontId="37" fillId="29" borderId="0" applyNumberFormat="0" applyBorder="0" applyAlignment="0" applyProtection="0">
      <x:alignment vertical="center"/>
    </x:xf>
    <x:xf numFmtId="0" fontId="38" fillId="30" borderId="0" applyNumberFormat="0" applyBorder="0" applyAlignment="0" applyProtection="0">
      <x:alignment vertical="center"/>
    </x:xf>
    <x:xf numFmtId="0" fontId="38" fillId="31" borderId="0" applyNumberFormat="0" applyBorder="0" applyAlignment="0" applyProtection="0">
      <x:alignment vertical="center"/>
    </x:xf>
    <x:xf numFmtId="0" fontId="37" fillId="32" borderId="0" applyNumberFormat="0" applyBorder="0" applyAlignment="0" applyProtection="0">
      <x:alignment vertical="center"/>
    </x:xf>
    <x:xf numFmtId="0" fontId="37" fillId="33" borderId="0" applyNumberFormat="0" applyBorder="0" applyAlignment="0" applyProtection="0">
      <x:alignment vertical="center"/>
    </x:xf>
    <x:xf numFmtId="0" fontId="38" fillId="34" borderId="0" applyNumberFormat="0" applyBorder="0" applyAlignment="0" applyProtection="0">
      <x:alignment vertical="center"/>
    </x:xf>
    <x:xf numFmtId="0" fontId="38" fillId="35" borderId="0" applyNumberFormat="0" applyBorder="0" applyAlignment="0" applyProtection="0">
      <x:alignment vertical="center"/>
    </x:xf>
    <x:xf numFmtId="0" fontId="37" fillId="36" borderId="0" applyNumberFormat="0" applyBorder="0" applyAlignment="0" applyProtection="0">
      <x:alignment vertical="center"/>
    </x:xf>
    <x:xf numFmtId="0" fontId="37" fillId="37" borderId="0" applyNumberFormat="0" applyBorder="0" applyAlignment="0" applyProtection="0">
      <x:alignment vertical="center"/>
    </x:xf>
    <x:xf numFmtId="0" fontId="38" fillId="38" borderId="0" applyNumberFormat="0" applyBorder="0" applyAlignment="0" applyProtection="0">
      <x:alignment vertical="center"/>
    </x:xf>
    <x:xf numFmtId="0" fontId="38" fillId="39" borderId="0" applyNumberFormat="0" applyBorder="0" applyAlignment="0" applyProtection="0">
      <x:alignment vertical="center"/>
    </x:xf>
    <x:xf numFmtId="0" fontId="37" fillId="40" borderId="0" applyNumberFormat="0" applyBorder="0" applyAlignment="0" applyProtection="0">
      <x:alignment vertical="center"/>
    </x:xf>
    <x:xf numFmtId="0" fontId="37" fillId="41" borderId="0" applyNumberFormat="0" applyBorder="0" applyAlignment="0" applyProtection="0">
      <x:alignment vertical="center"/>
    </x:xf>
    <x:xf numFmtId="0" fontId="38" fillId="42" borderId="0" applyNumberFormat="0" applyBorder="0" applyAlignment="0" applyProtection="0">
      <x:alignment vertical="center"/>
    </x:xf>
    <x:xf numFmtId="0" fontId="38" fillId="43" borderId="0" applyNumberFormat="0" applyBorder="0" applyAlignment="0" applyProtection="0">
      <x:alignment vertical="center"/>
    </x:xf>
    <x:xf numFmtId="0" fontId="37" fillId="44" borderId="0" applyNumberFormat="0" applyBorder="0" applyAlignment="0" applyProtection="0">
      <x:alignment vertical="center"/>
    </x:xf>
  </x:cellStyleXfs>
  <x:cellXfs count="110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3" fillId="3" borderId="0" xfId="0" applyFont="1" applyFill="1" applyAlignment="1">
      <x:alignment horizontal="left"/>
    </x:xf>
    <x:xf numFmtId="0" fontId="0" fillId="4" borderId="0" xfId="0" applyFill="1"/>
    <x:xf numFmtId="176" fontId="0" fillId="0" borderId="0" xfId="0" applyNumberFormat="1"/>
    <x:xf numFmtId="176" fontId="0" fillId="0" borderId="1" xfId="0" applyNumberFormat="1" applyBorder="1" applyAlignment="1">
      <x:alignment horizontal="center" vertical="center"/>
    </x:xf>
    <x:xf numFmtId="0" fontId="4" fillId="0" borderId="0" xfId="0" applyFont="1"/>
    <x:xf numFmtId="0" fontId="0" fillId="0" borderId="1" xfId="0" applyBorder="1"/>
    <x:xf numFmtId="0" fontId="0" fillId="4" borderId="1" xfId="0" applyFill="1" applyBorder="1"/>
    <x:xf numFmtId="0" fontId="0" fillId="0" borderId="2" xfId="0" applyBorder="1"/>
    <x:xf numFmtId="0" fontId="0" fillId="0" borderId="3" xfId="0" applyBorder="1"/>
    <x:xf numFmtId="0" fontId="0" fillId="5" borderId="1" xfId="0" applyFill="1" applyBorder="1"/>
    <x:xf numFmtId="1" fontId="0" fillId="0" borderId="1" xfId="0" applyNumberFormat="1" applyBorder="1"/>
    <x:xf numFmtId="0" fontId="0" fillId="5" borderId="0" xfId="0" applyFill="1" applyAlignment="1">
      <x:alignment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vertical="center"/>
    </x:xf>
    <x:xf numFmtId="0" fontId="4" fillId="0" borderId="1" xfId="0" applyFont="1" applyBorder="1"/>
    <x:xf numFmtId="0" fontId="0" fillId="0" borderId="1" xfId="0" applyBorder="1" applyAlignment="1">
      <x:alignment vertical="center" wrapText="1"/>
    </x:xf>
    <x:xf numFmtId="0" fontId="0" fillId="0" borderId="0" xfId="0" applyAlignment="1">
      <x:alignment wrapText="1"/>
    </x:xf>
    <x:xf numFmtId="0" fontId="7" fillId="4" borderId="0" xfId="0" applyFont="1" applyFill="1"/>
    <x:xf numFmtId="0" fontId="8" fillId="7" borderId="0" xfId="0" applyFont="1" applyFill="1" applyAlignment="1">
      <x:alignment horizontal="center" vertical="center"/>
    </x:xf>
    <x:xf numFmtId="0" fontId="3" fillId="8" borderId="0" xfId="0" applyFont="1" applyFill="1" applyAlignment="1">
      <x:alignment horizontal="left" vertical="center"/>
    </x:xf>
    <x:xf numFmtId="0" fontId="4" fillId="0" borderId="1" xfId="0" applyFont="1" applyBorder="1" applyAlignment="1">
      <x:alignment horizontal="center"/>
    </x:xf>
    <x:xf numFmtId="0" fontId="0" fillId="4" borderId="1" xfId="0" applyFill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4" fillId="5" borderId="1" xfId="0" applyFont="1" applyFill="1" applyBorder="1" applyAlignment="1">
      <x:alignment horizontal="center"/>
    </x:xf>
    <x:xf numFmtId="0" fontId="2" fillId="6" borderId="1" xfId="0" applyFont="1" applyFill="1" applyBorder="1" applyAlignment="1">
      <x:alignment horizontal="center" vertical="center" wrapText="1"/>
    </x:xf>
    <x:xf numFmtId="9" fontId="0" fillId="4" borderId="1" xfId="0" applyNumberFormat="1" applyFill="1" applyBorder="1" applyAlignment="1">
      <x:alignment horizontal="center"/>
    </x:xf>
    <x:xf numFmtId="0" fontId="4" fillId="9" borderId="1" xfId="0" applyFont="1" applyFill="1" applyBorder="1"/>
    <x:xf numFmtId="9" fontId="4" fillId="9" borderId="1" xfId="0" applyNumberFormat="1" applyFont="1" applyFill="1" applyBorder="1"/>
    <x:xf numFmtId="0" fontId="0" fillId="0" borderId="1" xfId="0" applyBorder="1" applyAlignment="1">
      <x:alignment horizontal="center" vertical="center" wrapText="1"/>
    </x:xf>
    <x:xf numFmtId="0" fontId="0" fillId="9" borderId="1" xfId="0" applyFill="1" applyBorder="1" applyAlignment="1">
      <x:alignment horizontal="center" vertical="center" wrapText="1"/>
    </x:xf>
    <x:xf numFmtId="0" fontId="0" fillId="4" borderId="1" xfId="0" applyFill="1" applyBorder="1" applyAlignment="1">
      <x:alignment horizontal="center" vertical="center" wrapText="1"/>
    </x:xf>
    <x:xf numFmtId="176" fontId="0" fillId="5" borderId="1" xfId="0" applyNumberFormat="1" applyFill="1" applyBorder="1" applyAlignment="1">
      <x:alignment horizontal="center" vertical="center" wrapText="1"/>
    </x:xf>
    <x:xf numFmtId="176" fontId="0" fillId="4" borderId="1" xfId="0" applyNumberFormat="1" applyFill="1" applyBorder="1" applyAlignment="1">
      <x:alignment horizontal="center" vertical="center" wrapText="1"/>
    </x:xf>
    <x:xf numFmtId="176" fontId="4" fillId="9" borderId="1" xfId="0" applyNumberFormat="1" applyFont="1" applyFill="1" applyBorder="1"/>
    <x:xf numFmtId="0" fontId="2" fillId="8" borderId="0" xfId="0" applyFont="1" applyFill="1"/>
    <x:xf numFmtId="176" fontId="0" fillId="5" borderId="1" xfId="0" applyNumberFormat="1" applyFill="1" applyBorder="1" applyAlignment="1">
      <x:alignment horizontal="center"/>
    </x:xf>
    <x:xf numFmtId="176" fontId="0" fillId="4" borderId="1" xfId="0" applyNumberFormat="1" applyFill="1" applyBorder="1" applyAlignment="1">
      <x:alignment horizontal="center"/>
    </x:xf>
    <x:xf numFmtId="0" fontId="0" fillId="5" borderId="1" xfId="0" applyFill="1" applyBorder="1" applyAlignment="1">
      <x:alignment horizontal="center" vertical="center" wrapText="1"/>
    </x:xf>
    <x:xf numFmtId="0" fontId="9" fillId="0" borderId="0" xfId="0" applyFont="1" applyAlignment="1">
      <x:alignment wrapText="1"/>
    </x:xf>
    <x:xf numFmtId="0" fontId="4" fillId="10" borderId="1" xfId="0" applyFont="1" applyFill="1" applyBorder="1" applyAlignment="1">
      <x:alignment horizontal="center" vertical="center" wrapText="1"/>
    </x:xf>
    <x:xf numFmtId="1" fontId="10" fillId="5" borderId="1" xfId="0" applyNumberFormat="1" applyFont="1" applyFill="1" applyBorder="1" applyAlignment="1">
      <x:alignment horizontal="center" vertical="center" wrapText="1"/>
    </x:xf>
    <x:xf numFmtId="2" fontId="0" fillId="4" borderId="1" xfId="0" applyNumberFormat="1" applyFill="1" applyBorder="1" applyAlignment="1">
      <x:alignment horizontal="center" vertical="center" wrapText="1"/>
    </x:xf>
    <x:xf numFmtId="0" fontId="0" fillId="4" borderId="1" xfId="0" applyFill="1" applyBorder="1" applyAlignment="1">
      <x:alignment horizontal="center" vertical="center"/>
    </x:xf>
    <x:xf numFmtId="1" fontId="10" fillId="5" borderId="1" xfId="0" applyNumberFormat="1" applyFont="1" applyFill="1" applyBorder="1" applyAlignment="1">
      <x:alignment horizontal="center" vertical="center"/>
    </x:xf>
    <x:xf numFmtId="2" fontId="0" fillId="4" borderId="1" xfId="0" applyNumberFormat="1" applyFill="1" applyBorder="1" applyAlignment="1">
      <x:alignment horizontal="center" vertical="center"/>
    </x:xf>
    <x:xf numFmtId="0" fontId="11" fillId="8" borderId="4" xfId="0" applyFont="1" applyFill="1" applyBorder="1" applyAlignment="1">
      <x:alignment horizontal="center" vertical="center" wrapText="1"/>
    </x:xf>
    <x:xf numFmtId="0" fontId="11" fillId="8" borderId="2" xfId="0" applyFont="1" applyFill="1" applyBorder="1" applyAlignment="1">
      <x:alignment horizontal="center" vertical="center" wrapText="1"/>
    </x:xf>
    <x:xf numFmtId="0" fontId="11" fillId="8" borderId="3" xfId="0" applyFont="1" applyFill="1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0" fontId="12" fillId="7" borderId="0" xfId="0" applyFont="1" applyFill="1" applyAlignment="1">
      <x:alignment vertical="center" wrapText="1"/>
    </x:xf>
    <x:xf numFmtId="0" fontId="6" fillId="0" borderId="0" xfId="0" applyFont="1" applyAlignment="1">
      <x:alignment vertical="center" wrapText="1"/>
    </x:xf>
    <x:xf numFmtId="0" fontId="11" fillId="8" borderId="0" xfId="0" applyFont="1" applyFill="1" applyAlignment="1">
      <x:alignment vertical="center" wrapText="1"/>
    </x:xf>
    <x:xf numFmtId="0" fontId="6" fillId="0" borderId="1" xfId="0" applyFont="1" applyBorder="1" applyAlignment="1">
      <x:alignment vertical="center" wrapText="1"/>
    </x:xf>
    <x:xf numFmtId="176" fontId="6" fillId="5" borderId="1" xfId="0" applyNumberFormat="1" applyFont="1" applyFill="1" applyBorder="1" applyAlignment="1">
      <x:alignment vertical="center" wrapText="1"/>
    </x:xf>
    <x:xf numFmtId="176" fontId="6" fillId="11" borderId="1" xfId="0" applyNumberFormat="1" applyFont="1" applyFill="1" applyBorder="1" applyAlignment="1">
      <x:alignment vertical="center" wrapText="1"/>
    </x:xf>
    <x:xf numFmtId="0" fontId="13" fillId="12" borderId="1" xfId="0" applyFont="1" applyFill="1" applyBorder="1" applyAlignment="1">
      <x:alignment vertical="center" wrapText="1"/>
    </x:xf>
    <x:xf numFmtId="176" fontId="13" fillId="12" borderId="1" xfId="0" applyNumberFormat="1" applyFont="1" applyFill="1" applyBorder="1" applyAlignment="1">
      <x:alignment vertical="center" wrapText="1"/>
    </x:xf>
    <x:xf numFmtId="0" fontId="6" fillId="11" borderId="0" xfId="0" applyFont="1" applyFill="1" applyAlignment="1">
      <x:alignment vertical="center" wrapText="1"/>
    </x:xf>
    <x:xf numFmtId="0" fontId="6" fillId="0" borderId="0" xfId="0" applyFont="1"/>
    <x:xf numFmtId="0" fontId="6" fillId="4" borderId="1" xfId="0" applyFont="1" applyFill="1" applyBorder="1" applyAlignment="1">
      <x:alignment vertical="center" wrapText="1"/>
    </x:xf>
    <x:xf numFmtId="0" fontId="6" fillId="5" borderId="1" xfId="0" applyFont="1" applyFill="1" applyBorder="1" applyAlignment="1">
      <x:alignment vertical="center" wrapText="1"/>
    </x:xf>
    <x:xf numFmtId="176" fontId="6" fillId="0" borderId="1" xfId="0" applyNumberFormat="1" applyFont="1" applyBorder="1" applyAlignment="1">
      <x:alignment vertical="center" wrapText="1"/>
    </x:xf>
    <x:xf numFmtId="1" fontId="6" fillId="5" borderId="1" xfId="0" applyNumberFormat="1" applyFont="1" applyFill="1" applyBorder="1" applyAlignment="1">
      <x:alignment vertical="center" wrapText="1"/>
    </x:xf>
    <x:xf numFmtId="9" fontId="6" fillId="5" borderId="1" xfId="0" applyNumberFormat="1" applyFont="1" applyFill="1" applyBorder="1" applyAlignment="1">
      <x:alignment vertical="center" wrapText="1"/>
    </x:xf>
    <x:xf numFmtId="0" fontId="14" fillId="8" borderId="0" xfId="0" applyFont="1" applyFill="1" applyAlignment="1">
      <x:alignment horizontal="left" vertical="center"/>
    </x:xf>
    <x:xf numFmtId="0" fontId="14" fillId="6" borderId="0" xfId="0" applyFont="1" applyFill="1" applyAlignment="1">
      <x:alignment horizontal="center" vertical="center" wrapText="1"/>
    </x:xf>
    <x:xf numFmtId="0" fontId="15" fillId="13" borderId="1" xfId="0" applyNumberFormat="1" applyFont="1" applyFill="1" applyBorder="1" applyAlignment="1">
      <x:alignment vertical="center"/>
    </x:xf>
    <x:xf numFmtId="0" fontId="16" fillId="9" borderId="1" xfId="0" applyNumberFormat="1" applyFont="1" applyFill="1" applyBorder="1" applyAlignment="1">
      <x:alignment vertical="center"/>
    </x:xf>
    <x:xf numFmtId="9" fontId="15" fillId="5" borderId="1" xfId="0" applyNumberFormat="1" applyFont="1" applyFill="1" applyBorder="1" applyAlignment="1">
      <x:alignment vertical="center"/>
    </x:xf>
    <x:xf numFmtId="9" fontId="15" fillId="0" borderId="1" xfId="0" applyNumberFormat="1" applyFont="1" applyBorder="1" applyAlignment="1">
      <x:alignment vertical="center"/>
    </x:xf>
    <x:xf numFmtId="0" fontId="15" fillId="4" borderId="1" xfId="0" applyNumberFormat="1" applyFont="1" applyFill="1" applyBorder="1" applyAlignment="1">
      <x:alignment vertical="center"/>
    </x:xf>
    <x:xf numFmtId="0" fontId="15" fillId="0" borderId="1" xfId="0" applyNumberFormat="1" applyFont="1" applyBorder="1" applyAlignment="1">
      <x:alignment vertical="center"/>
    </x:xf>
    <x:xf numFmtId="176" fontId="15" fillId="5" borderId="1" xfId="0" applyNumberFormat="1" applyFont="1" applyFill="1" applyBorder="1" applyAlignment="1">
      <x:alignment vertical="center"/>
    </x:xf>
    <x:xf numFmtId="176" fontId="15" fillId="0" borderId="1" xfId="0" applyNumberFormat="1" applyFont="1" applyBorder="1" applyAlignment="1">
      <x:alignment vertical="center"/>
    </x:xf>
    <x:xf numFmtId="1" fontId="15" fillId="0" borderId="1" xfId="0" applyNumberFormat="1" applyFont="1" applyBorder="1" applyAlignment="1">
      <x:alignment vertical="center"/>
    </x:xf>
    <x:xf numFmtId="0" fontId="15" fillId="11" borderId="1" xfId="0" applyNumberFormat="1" applyFont="1" applyFill="1" applyBorder="1" applyAlignment="1">
      <x:alignment vertical="center"/>
    </x:xf>
    <x:xf numFmtId="0" fontId="15" fillId="5" borderId="1" xfId="0" applyNumberFormat="1" applyFont="1" applyFill="1" applyBorder="1" applyAlignment="1">
      <x:alignment vertical="center"/>
    </x:xf>
    <x:xf numFmtId="0" fontId="17" fillId="0" borderId="0" xfId="0" applyFont="1"/>
    <x:xf numFmtId="0" fontId="14" fillId="8" borderId="0" xfId="0" applyFont="1" applyFill="1" applyAlignment="1">
      <x:alignment horizontal="left" vertical="center" wrapText="1"/>
    </x:xf>
    <x:xf numFmtId="0" fontId="18" fillId="6" borderId="1" xfId="0" applyFont="1" applyFill="1" applyBorder="1" applyAlignment="1">
      <x:alignment horizontal="center" vertical="center" wrapText="1"/>
    </x:xf>
    <x:xf numFmtId="0" fontId="15" fillId="0" borderId="0" xfId="0" applyFont="1" applyAlignment="1">
      <x:alignment vertical="center" wrapText="1"/>
    </x:xf>
    <x:xf numFmtId="0" fontId="15" fillId="0" borderId="1" xfId="0" applyFont="1" applyBorder="1" applyAlignment="1">
      <x:alignment vertical="center" wrapText="1"/>
    </x:xf>
    <x:xf numFmtId="176" fontId="15" fillId="5" borderId="1" xfId="0" applyNumberFormat="1" applyFont="1" applyFill="1" applyBorder="1" applyAlignment="1">
      <x:alignment vertical="center" wrapText="1"/>
    </x:xf>
    <x:xf numFmtId="176" fontId="15" fillId="9" borderId="1" xfId="0" applyNumberFormat="1" applyFont="1" applyFill="1" applyBorder="1" applyAlignment="1">
      <x:alignment vertical="center" wrapText="1"/>
    </x:xf>
    <x:xf numFmtId="1" fontId="15" fillId="5" borderId="1" xfId="0" applyNumberFormat="1" applyFont="1" applyFill="1" applyBorder="1" applyAlignment="1">
      <x:alignment vertical="center" wrapText="1"/>
    </x:xf>
    <x:xf numFmtId="1" fontId="15" fillId="9" borderId="1" xfId="0" applyNumberFormat="1" applyFont="1" applyFill="1" applyBorder="1" applyAlignment="1">
      <x:alignment vertical="center" wrapText="1"/>
    </x:xf>
    <x:xf numFmtId="0" fontId="15" fillId="13" borderId="0" xfId="0" applyFont="1" applyFill="1" applyAlignment="1">
      <x:alignment horizontal="left" vertical="center"/>
    </x:xf>
    <x:xf numFmtId="0" fontId="15" fillId="0" borderId="0" xfId="0" applyFont="1" applyAlignment="1">
      <x:alignment wrapText="1"/>
    </x:xf>
    <x:xf numFmtId="9" fontId="6" fillId="0" borderId="1" xfId="0" applyNumberFormat="1" applyFont="1" applyBorder="1" applyAlignment="1">
      <x:alignment vertical="center" wrapText="1"/>
    </x:xf>
    <x:xf numFmtId="176" fontId="6" fillId="4" borderId="1" xfId="0" applyNumberFormat="1" applyFont="1" applyFill="1" applyBorder="1" applyAlignment="1">
      <x:alignment vertical="center" wrapText="1"/>
    </x:xf>
    <x:xf numFmtId="0" fontId="6" fillId="14" borderId="1" xfId="0" applyFont="1" applyFill="1" applyBorder="1" applyAlignment="1">
      <x:alignment vertical="center" wrapText="1"/>
    </x:xf>
    <x:xf numFmtId="176" fontId="6" fillId="14" borderId="1" xfId="0" applyNumberFormat="1" applyFont="1" applyFill="1" applyBorder="1" applyAlignment="1">
      <x:alignment vertical="center" wrapText="1"/>
    </x:xf>
    <x:xf numFmtId="0" fontId="6" fillId="5" borderId="1" xfId="0" applyFont="1" applyFill="1" applyBorder="1" applyAlignment="1">
      <x:alignment vertical="center"/>
    </x:xf>
    <x:xf numFmtId="9" fontId="0" fillId="4" borderId="1" xfId="0" applyNumberFormat="1" applyFill="1" applyBorder="1" applyAlignment="1">
      <x:alignment horizontal="center" vertical="center" wrapText="1"/>
    </x:xf>
    <x:xf numFmtId="0" fontId="3" fillId="8" borderId="0" xfId="0" applyFont="1" applyFill="1" applyAlignment="1">
      <x:alignment horizontal="left" vertical="center" wrapText="1"/>
    </x:xf>
    <x:xf numFmtId="0" fontId="19" fillId="0" borderId="0" xfId="0" applyFont="1" applyAlignment="1">
      <x:alignment wrapText="1"/>
    </x:xf>
    <x:xf numFmtId="1" fontId="6" fillId="4" borderId="1" xfId="0" applyNumberFormat="1" applyFont="1" applyFill="1" applyBorder="1" applyAlignment="1">
      <x:alignment vertical="center" wrapText="1"/>
    </x:xf>
    <x:xf numFmtId="0" fontId="5" fillId="6" borderId="0" xfId="0" applyFont="1" applyFill="1" applyAlignment="1">
      <x:alignment vertical="center" wrapText="1"/>
    </x:xf>
    <x:xf numFmtId="177" fontId="6" fillId="4" borderId="1" xfId="0" applyNumberFormat="1" applyFont="1" applyFill="1" applyBorder="1" applyAlignment="1">
      <x:alignment vertical="center" wrapText="1"/>
    </x:xf>
    <x:xf numFmtId="178" fontId="6" fillId="5" borderId="1" xfId="0" applyNumberFormat="1" applyFont="1" applyFill="1" applyBorder="1" applyAlignment="1">
      <x:alignment vertical="center" wrapText="1"/>
    </x:xf>
    <x:xf numFmtId="1" fontId="6" fillId="0" borderId="1" xfId="0" applyNumberFormat="1" applyFont="1" applyBorder="1" applyAlignment="1">
      <x:alignment vertical="center" wrapText="1"/>
    </x:xf>
    <x:xf numFmtId="1" fontId="6" fillId="9" borderId="1" xfId="0" applyNumberFormat="1" applyFont="1" applyFill="1" applyBorder="1" applyAlignment="1">
      <x:alignment vertical="center" wrapText="1"/>
    </x:xf>
    <x:xf numFmtId="0" fontId="6" fillId="9" borderId="1" xfId="0" applyFont="1" applyFill="1" applyBorder="1" applyAlignment="1">
      <x:alignment vertical="center" wrapText="1"/>
    </x:xf>
    <x:xf numFmtId="1" fontId="13" fillId="12" borderId="1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ill>
        <x:patternFill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adf5e4eb84328" /><Relationship Type="http://schemas.openxmlformats.org/officeDocument/2006/relationships/theme" Target="/xl/theme/theme1.xml" Id="R4863a315baf94506" /><Relationship Type="http://schemas.openxmlformats.org/officeDocument/2006/relationships/sheetMetadata" Target="/xl/metadata1.xml" Id="Rf4a7c8cb67ad42e3" /><Relationship Type="http://schemas.openxmlformats.org/officeDocument/2006/relationships/sharedStrings" Target="/xl/sharedStrings.xml" Id="R22b30d31e3884989" /><Relationship Type="http://schemas.openxmlformats.org/officeDocument/2006/relationships/worksheet" Target="/xl/worksheets/sheet1.xml" Id="R98e9f8490964448f" /><Relationship Type="http://schemas.openxmlformats.org/officeDocument/2006/relationships/worksheet" Target="/xl/worksheets/sheet2.xml" Id="Re3f59511e2f346e0" /><Relationship Type="http://schemas.openxmlformats.org/officeDocument/2006/relationships/worksheet" Target="/xl/worksheets/sheet3.xml" Id="R06ec5701008243ca" /><Relationship Type="http://schemas.openxmlformats.org/officeDocument/2006/relationships/worksheet" Target="/xl/worksheets/sheet4.xml" Id="Rbcd5ffb6b4d84ae2" /><Relationship Type="http://schemas.openxmlformats.org/officeDocument/2006/relationships/worksheet" Target="/xl/worksheets/sheet5.xml" Id="R7e93d4e181eb4226" /><Relationship Type="http://schemas.openxmlformats.org/officeDocument/2006/relationships/worksheet" Target="/xl/worksheets/sheet6.xml" Id="Rac9314cf4a534e40" /><Relationship Type="http://schemas.openxmlformats.org/officeDocument/2006/relationships/worksheet" Target="/xl/worksheets/sheet7.xml" Id="Rc9f8ffc493934c56" /><Relationship Type="http://schemas.openxmlformats.org/officeDocument/2006/relationships/worksheet" Target="/xl/worksheets/sheet8.xml" Id="R6bf0e51546954c76" /><Relationship Type="http://schemas.openxmlformats.org/officeDocument/2006/relationships/worksheet" Target="/xl/worksheets/sheet9.xml" Id="Rdb18ff1f34b94453" /><Relationship Type="http://schemas.openxmlformats.org/officeDocument/2006/relationships/worksheet" Target="/xl/worksheets/sheet10.xml" Id="R2c9d0398e66f49c0" /><Relationship Type="http://schemas.openxmlformats.org/officeDocument/2006/relationships/worksheet" Target="/xl/worksheets/sheet11.xml" Id="R55fa0dc04b4a4531" /><Relationship Type="http://schemas.microsoft.com/office/2017/10/relationships/person" Target="/xl/persons/person.xml" Id="R0f74a30f3e714f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affcda484c4139" /><Relationship Type="http://schemas.openxmlformats.org/officeDocument/2006/relationships/chart" Target="/xl/drawings/charts/chart2.xml" Id="Re4d5bd764f804b6c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体重变化趋势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体重趋势!$C$3</c:f>
              <c:strCache>
                <c:ptCount val="1"/>
                <c:pt idx="0">
                  <c:v>体重(kg)</c:v>
                </c:pt>
              </c:strCache>
            </c:strRef>
          </c:tx>
          <c:spPr>
            <a:ln xmlns:a="http://schemas.openxmlformats.org/drawingml/2006/main" w="28575" cmpd="sng">
              <a:solidFill>
                <a:schemeClr val="accent1">
                  <a:shade val="95000"/>
                  <a:satMod val="105000"/>
                </a:schemeClr>
              </a:solidFill>
              <a:prstDash val="solid"/>
            </a:ln>
          </c:spPr>
          <c:marker>
            <c:symbol val="none"/>
          </c:marker>
          <c:dLbls>
            <c:delete val="1"/>
          </c:dLbls>
          <c:cat>
            <c:numRef>
              <c:f>体重趋势!$A$4:$A$15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体重趋势!$C$4:$C$15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周次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体重（kg）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腰围变化趋势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体重趋势!$D$3</c:f>
              <c:strCache>
                <c:ptCount val="1"/>
                <c:pt idx="0">
                  <c:v>腰围(cm)</c:v>
                </c:pt>
              </c:strCache>
            </c:strRef>
          </c:tx>
          <c:spPr>
            <a:ln xmlns:a="http://schemas.openxmlformats.org/drawingml/2006/main" w="28575" cmpd="sng">
              <a:solidFill>
                <a:schemeClr val="accent1">
                  <a:shade val="95000"/>
                  <a:satMod val="105000"/>
                </a:schemeClr>
              </a:solidFill>
              <a:prstDash val="solid"/>
            </a:ln>
          </c:spPr>
          <c:marker>
            <c:symbol val="none"/>
          </c:marker>
          <c:dLbls>
            <c:delete val="1"/>
          </c:dLbls>
          <c:cat>
            <c:numRef>
              <c:f>体重趋势!$A$4:$A$15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体重趋势!$D$4:$D$15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周次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腰围（cm）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5760000" cy="2594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affcda484c4139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5760000" cy="2594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d5bd764f804b6c"/>
        </a:graphicData>
      </a:graphic>
    </xdr:graphicFrame>
    <xdr:clientData/>
  </xdr:oneCellAnchor>
</xdr:wsDr>
</file>

<file path=xl/persons/person.xml><?xml version="1.0" encoding="utf-8"?>
<xltc:personList xmlns:xltc="http://schemas.microsoft.com/office/spreadsheetml/2018/threadedcomments">
  <xltc:person displayName="cryst" id="{8F014A56-DF4C-9159-0798-6F9450F5EBB1}"/>
  <xltc:person displayName="cryst" id="{D16FDC9C-5C24-61AF-79EF-C893C725BBC3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97b68aad1354d5b" /><Relationship Type="http://schemas.openxmlformats.org/officeDocument/2006/relationships/vmlDrawing" Target="/xl/drawings/vmldrawing.vml" Id="R212d8c6f87aa41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8d657f65aba04a0d" /><Relationship Type="http://schemas.openxmlformats.org/officeDocument/2006/relationships/vmlDrawing" Target="/xl/drawings/vmldrawing2.vml" Id="R74b9b83c82c94d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4724e020444585" /></Relationships>
</file>

<file path=xl/worksheets/sheet1.xml><?xml version="1.0" encoding="utf-8"?>
<x:worksheet xmlns:x="http://schemas.openxmlformats.org/spreadsheetml/2006/main">
  <x:sheetPr>
    <x:tabColor rgb="FF5B3F7A"/>
  </x:sheetPr>
  <x:sheetViews>
    <x:sheetView showGridLines="0" workbookViewId="0"/>
  </x:sheetViews>
  <x:sheetFormatPr defaultColWidth="9" defaultRowHeight="13.5"/>
  <x:cols>
    <x:col min="1" max="1" width="18.637168884277344" customWidth="1"/>
    <x:col min="2" max="2" width="18.274335861206055" customWidth="1"/>
    <x:col min="3" max="3" width="24.168142318725586" customWidth="1"/>
    <x:col min="4" max="4" width="11.637167930603027" customWidth="1"/>
    <x:col min="5" max="5" width="13.637167930603027" customWidth="1"/>
    <x:col min="6" max="6" width="14.637167930603027" customWidth="1"/>
    <x:col min="7" max="9" width="12.637167930603027" customWidth="1"/>
    <x:col min="10" max="10" width="14.637167930603027" customWidth="1"/>
    <x:col min="11" max="12" width="13.637167930603027" customWidth="1"/>
    <x:col min="13" max="13" width="23.637168884277344" customWidth="1"/>
  </x:cols>
  <x:sheetData>
    <x:row r="1" ht="34" customHeight="1">
      <x:c r="A1" s="55" t="s">
        <x:v>0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</x:row>
    <x:row r="2" ht="13.850000381469727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</x:row>
    <x:row r="3" ht="15.75">
      <x:c r="A3" s="57" t="s">
        <x:v>1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</x:row>
    <x:row r="4" ht="28" customHeight="1">
      <x:c r="A4" s="58" t="s">
        <x:v>2</x:v>
      </x:c>
      <x:c r="B4" s="95">
        <x:v>85</x:v>
      </x:c>
      <x:c r="C4" s="58" t="s">
        <x:v>3</x:v>
      </x:c>
      <x:c r="D4" s="56"/>
      <x:c r="E4" s="56"/>
      <x:c r="F4" s="56"/>
      <x:c r="G4" s="56"/>
      <x:c r="H4" s="56"/>
      <x:c r="I4" s="56"/>
      <x:c r="J4" s="56"/>
      <x:c r="K4" s="56"/>
      <x:c r="L4" s="56"/>
      <x:c r="M4" s="56"/>
    </x:row>
    <x:row r="5" ht="28" customHeight="1">
      <x:c r="A5" s="58" t="s">
        <x:v>4</x:v>
      </x:c>
      <x:c r="B5" s="95">
        <x:v>2</x:v>
      </x:c>
      <x:c r="C5" s="58" t="s">
        <x:v>5</x:v>
      </x:c>
      <x:c r="D5" s="56"/>
      <x:c r="E5" s="56"/>
      <x:c r="F5" s="56"/>
      <x:c r="G5" s="56"/>
      <x:c r="H5" s="56"/>
      <x:c r="I5" s="56"/>
      <x:c r="J5" s="56"/>
      <x:c r="K5" s="56"/>
      <x:c r="L5" s="56"/>
      <x:c r="M5" s="56"/>
    </x:row>
    <x:row r="6" ht="28" customHeight="1">
      <x:c r="A6" s="58" t="s">
        <x:v>6</x:v>
      </x:c>
      <x:c r="B6" s="95">
        <x:v>1.4</x:v>
      </x:c>
      <x:c r="C6" s="58" t="s">
        <x:v>7</x:v>
      </x:c>
      <x:c r="D6" s="56"/>
      <x:c r="E6" s="56"/>
      <x:c r="F6" s="56"/>
      <x:c r="G6" s="56"/>
      <x:c r="H6" s="56"/>
      <x:c r="I6" s="56"/>
      <x:c r="J6" s="56"/>
      <x:c r="K6" s="56"/>
      <x:c r="L6" s="56"/>
      <x:c r="M6" s="56"/>
    </x:row>
    <x:row r="7" ht="28" customHeight="1">
      <x:c r="A7" s="58" t="s">
        <x:v>8</x:v>
      </x:c>
      <x:c r="B7" s="95">
        <x:v>0.8</x:v>
      </x:c>
      <x:c r="C7" s="58" t="s">
        <x:v>9</x:v>
      </x:c>
      <x:c r="D7" s="56"/>
      <x:c r="E7" s="56"/>
      <x:c r="F7" s="56"/>
      <x:c r="G7" s="56"/>
      <x:c r="H7" s="56"/>
      <x:c r="I7" s="56"/>
      <x:c r="J7" s="56"/>
      <x:c r="K7" s="56"/>
      <x:c r="L7" s="56"/>
      <x:c r="M7" s="56"/>
    </x:row>
    <x:row r="8" ht="28" customHeight="1">
      <x:c r="A8" s="58" t="s">
        <x:v>10</x:v>
      </x:c>
      <x:c r="B8" s="95" t="n">
        <x:f>B4*(B5*4+B6*4+B7*9)</x:f>
        <x:v>1768</x:v>
      </x:c>
      <x:c r="C8" s="58" t="s">
        <x:v>11</x:v>
      </x:c>
      <x:c r="D8" s="56"/>
      <x:c r="E8" s="56"/>
      <x:c r="F8" s="56"/>
      <x:c r="G8" s="56"/>
      <x:c r="H8" s="56"/>
      <x:c r="I8" s="56"/>
      <x:c r="J8" s="56"/>
      <x:c r="K8" s="56"/>
      <x:c r="L8" s="56"/>
      <x:c r="M8" s="56"/>
    </x:row>
    <x:row r="9" ht="28" customHeight="1">
      <x:c r="A9" s="58" t="s">
        <x:v>12</x:v>
      </x:c>
      <x:c r="B9" s="102">
        <x:v>7</x:v>
      </x:c>
      <x:c r="C9" s="58" t="s">
        <x:v>13</x:v>
      </x:c>
      <x:c r="D9" s="56"/>
      <x:c r="E9" s="56"/>
      <x:c r="F9" s="56"/>
      <x:c r="G9" s="56"/>
      <x:c r="H9" s="56"/>
      <x:c r="I9" s="56"/>
      <x:c r="J9" s="56"/>
      <x:c r="K9" s="56"/>
      <x:c r="L9" s="56"/>
      <x:c r="M9" s="56"/>
    </x:row>
    <x:row r="10" ht="13.850000381469727">
      <x:c r="A10" s="56"/>
      <x:c r="B10" s="56"/>
      <x:c r="C10" s="56"/>
      <x:c r="D10" s="56"/>
      <x:c r="E10" s="56"/>
      <x:c r="F10" s="56"/>
      <x:c r="G10" s="56"/>
      <x:c r="H10" s="56"/>
      <x:c r="I10" s="56"/>
      <x:c r="J10" s="56"/>
      <x:c r="K10" s="56"/>
      <x:c r="L10" s="56"/>
      <x:c r="M10" s="56"/>
    </x:row>
    <x:row r="11" ht="15.75">
      <x:c r="A11" s="57" t="s">
        <x:v>14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</x:row>
    <x:row r="12" ht="32" customHeight="1">
      <x:c r="A12" s="16" t="s">
        <x:v>15</x:v>
      </x:c>
      <x:c r="B12" s="16" t="s">
        <x:v>16</x:v>
      </x:c>
      <x:c r="C12" s="16" t="s">
        <x:v>17</x:v>
      </x:c>
      <x:c r="D12" s="16" t="s">
        <x:v>18</x:v>
      </x:c>
      <x:c r="E12" s="16" t="s">
        <x:v>19</x:v>
      </x:c>
      <x:c r="F12" s="16" t="s">
        <x:v>20</x:v>
      </x:c>
      <x:c r="G12" s="16" t="s">
        <x:v>21</x:v>
      </x:c>
      <x:c r="H12" s="16" t="s">
        <x:v>22</x:v>
      </x:c>
      <x:c r="I12" s="16" t="s">
        <x:v>23</x:v>
      </x:c>
      <x:c r="J12" s="103" t="s">
        <x:v>24</x:v>
      </x:c>
      <x:c r="K12" s="103"/>
      <x:c r="L12" s="103"/>
      <x:c r="M12" s="103"/>
    </x:row>
    <x:row r="13" ht="13.899999618530273">
      <x:c r="A13" s="58" t="s">
        <x:v>25</x:v>
      </x:c>
      <x:c r="B13" s="58" t="n">
        <x:f>COUNTIFS($A$20:$A$50,"&lt;="&amp;$B$9,$C$20:$C$50,A13)</x:f>
        <x:v>2</x:v>
      </x:c>
      <x:c r="C13" s="104">
        <x:v>1.6</x:v>
      </x:c>
      <x:c r="D13" s="105" t="n">
        <x:f>IF(SUMPRODUCT($B$13:$B$15,$C$13:$C$15)=0,0,B13*C13/SUMPRODUCT($B$13:$B$15,$C$13:$C$15))</x:f>
        <x:v>0.4507042253521127</x:v>
      </x:c>
      <x:c r="E13" s="59" t="n">
        <x:f>$B$4*$B$5*$B$9*D13</x:f>
        <x:v>536.3380281690141</x:v>
      </x:c>
      <x:c r="F13" s="59" t="n">
        <x:f>IF(B13=0,0,E13/B13)</x:f>
        <x:v>268.16901408450707</x:v>
      </x:c>
      <x:c r="G13" s="59" t="n">
        <x:f>IF($B$4=0,0,F13/$B$4)</x:f>
        <x:v>3.154929577464789</x:v>
      </x:c>
      <x:c r="H13" s="59" t="n">
        <x:f>MAX(0,($B$8-F13*4-$B$4*$B$6*4)/9)</x:f>
        <x:v>24.36932707355242</x:v>
      </x:c>
      <x:c r="I13" s="66" t="str">
        <x:f>IF(B13=0,"未使用",IF(C13&lt;=0,"权重需大于0",IF(H13=0,"脂肪为0：提高热量","正常")))</x:f>
        <x:v>正常</x:v>
      </x:c>
      <x:c r="J13" s="58" t="s">
        <x:v>26</x:v>
      </x:c>
      <x:c r="K13" s="68" t="n">
        <x:f>SUM(G20:G50)</x:f>
        <x:v>1189.999999999999</x:v>
      </x:c>
      <x:c r="L13" s="106" t="s">
        <x:v>27</x:v>
      </x:c>
      <x:c r="M13" s="107" t="n">
        <x:f>IF($B$9=0,0,K16/$B$9)</x:f>
        <x:v>1768</x:v>
      </x:c>
    </x:row>
    <x:row r="14" ht="13.899999618530273">
      <x:c r="A14" s="58" t="s">
        <x:v>28</x:v>
      </x:c>
      <x:c r="B14" s="58" t="n">
        <x:f>COUNTIFS($A$20:$A$50,"&lt;="&amp;$B$9,$C$20:$C$50,A14)</x:f>
        <x:v>3</x:v>
      </x:c>
      <x:c r="C14" s="104">
        <x:v>0.9</x:v>
      </x:c>
      <x:c r="D14" s="105" t="n">
        <x:f>IF(SUMPRODUCT($B$13:$B$15,$C$13:$C$15)=0,0,B14*C14/SUMPRODUCT($B$13:$B$15,$C$13:$C$15))</x:f>
        <x:v>0.38028169014084506</x:v>
      </x:c>
      <x:c r="E14" s="59" t="n">
        <x:f>$B$4*$B$5*$B$9*D14</x:f>
        <x:v>452.53521126760563</x:v>
      </x:c>
      <x:c r="F14" s="59" t="n">
        <x:f>IF(B14=0,0,E14/B14)</x:f>
        <x:v>150.8450704225352</x:v>
      </x:c>
      <x:c r="G14" s="59" t="n">
        <x:f>IF($B$4=0,0,F14/$B$4)</x:f>
        <x:v>1.7746478873239435</x:v>
      </x:c>
      <x:c r="H14" s="59" t="n">
        <x:f>MAX(0,($B$8-F14*4-$B$4*$B$6*4)/9)</x:f>
        <x:v>76.51330203442882</x:v>
      </x:c>
      <x:c r="I14" s="66" t="str">
        <x:f>IF(B14=0,"未使用",IF(C14&lt;=0,"权重需大于0",IF(H14=0,"脂肪为0：提高热量","正常")))</x:f>
        <x:v>正常</x:v>
      </x:c>
      <x:c r="J14" s="58" t="s">
        <x:v>29</x:v>
      </x:c>
      <x:c r="K14" s="68" t="n">
        <x:f>SUM(H20:H50)</x:f>
        <x:v>833</x:v>
      </x:c>
      <x:c r="L14" s="106" t="s">
        <x:v>30</x:v>
      </x:c>
      <x:c r="M14" s="107" t="n">
        <x:f>COUNTIFS($A$20:$A$50,"&lt;="&amp;$B$9,$D$20:$D$50,"是")</x:f>
        <x:v>4</x:v>
      </x:c>
    </x:row>
    <x:row r="15" ht="13.899999618530273">
      <x:c r="A15" s="58" t="s">
        <x:v>31</x:v>
      </x:c>
      <x:c r="B15" s="58" t="n">
        <x:f>COUNTIFS($A$20:$A$50,"&lt;="&amp;$B$9,$C$20:$C$50,A15)</x:f>
        <x:v>2</x:v>
      </x:c>
      <x:c r="C15" s="104">
        <x:v>0.6</x:v>
      </x:c>
      <x:c r="D15" s="105" t="n">
        <x:f>IF(SUMPRODUCT($B$13:$B$15,$C$13:$C$15)=0,0,B15*C15/SUMPRODUCT($B$13:$B$15,$C$13:$C$15))</x:f>
        <x:v>0.16901408450704222</x:v>
      </x:c>
      <x:c r="E15" s="59" t="n">
        <x:f>$B$4*$B$5*$B$9*D15</x:f>
        <x:v>201.12676056338026</x:v>
      </x:c>
      <x:c r="F15" s="59" t="n">
        <x:f>IF(B15=0,0,E15/B15)</x:f>
        <x:v>100.56338028169013</x:v>
      </x:c>
      <x:c r="G15" s="59" t="n">
        <x:f>IF($B$4=0,0,F15/$B$4)</x:f>
        <x:v>1.1830985915492955</x:v>
      </x:c>
      <x:c r="H15" s="59" t="n">
        <x:f>MAX(0,($B$8-F15*4-$B$4*$B$6*4)/9)</x:f>
        <x:v>98.86071987480439</x:v>
      </x:c>
      <x:c r="I15" s="66" t="str">
        <x:f>IF(B15=0,"未使用",IF(C15&lt;=0,"权重需大于0",IF(H15=0,"脂肪为0：提高热量","正常")))</x:f>
        <x:v>正常</x:v>
      </x:c>
      <x:c r="J15" s="58" t="s">
        <x:v>32</x:v>
      </x:c>
      <x:c r="K15" s="68" t="n">
        <x:f>SUM(I20:I50)</x:f>
        <x:v>476.00000000000006</x:v>
      </x:c>
      <x:c r="L15" s="106" t="s">
        <x:v>33</x:v>
      </x:c>
      <x:c r="M15" s="107" t="n">
        <x:f>COUNTIFS($A$20:$A$50,"&lt;="&amp;$B$9,$D$20:$D$50,"否")</x:f>
        <x:v>3</x:v>
      </x:c>
    </x:row>
    <x:row r="16" ht="13.899999618530273">
      <x:c r="A16" s="58" t="s">
        <x:v>34</x:v>
      </x:c>
      <x:c r="B16" s="108" t="str">
        <x:f>IF(SUMPRODUCT(B13:B15,C13:C15)&gt;0,"通过","需设置有效权重")</x:f>
        <x:v>通过</x:v>
      </x:c>
      <x:c r="C16" s="58"/>
      <x:c r="D16" s="58" t="s">
        <x:v>35</x:v>
      </x:c>
      <x:c r="E16" s="66" t="n">
        <x:f>COUNTIFS($A$20:$A$50,"&lt;="&amp;$B$9,$C$20:$C$50,"&lt;&gt;")</x:f>
        <x:v>7</x:v>
      </x:c>
      <x:c r="F16" s="66" t="s">
        <x:v>36</x:v>
      </x:c>
      <x:c r="G16" s="66" t="n">
        <x:f>$B$9</x:f>
        <x:v>7</x:v>
      </x:c>
      <x:c r="H16" s="66" t="s">
        <x:v>37</x:v>
      </x:c>
      <x:c r="I16" s="66" t="str">
        <x:f>IF(E16=G16,"通过","有未配置日")</x:f>
        <x:v>通过</x:v>
      </x:c>
      <x:c r="J16" s="58" t="s">
        <x:v>38</x:v>
      </x:c>
      <x:c r="K16" s="68" t="n">
        <x:f>SUM(J20:J50)</x:f>
        <x:v>12376</x:v>
      </x:c>
      <x:c r="L16" s="106" t="s">
        <x:v>39</x:v>
      </x:c>
      <x:c r="M16" s="107" t="str">
        <x:f>IF(AND(B16="通过",I16="通过"),"可用","请检查")</x:f>
        <x:v>可用</x:v>
      </x:c>
    </x:row>
    <x:row r="17" ht="13.850000381469727">
      <x:c r="A17" s="56"/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</x:row>
    <x:row r="18" ht="15.75">
      <x:c r="A18" s="57" t="s">
        <x:v>40</x:v>
      </x:c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</x:row>
    <x:row r="19" ht="38" customHeight="1">
      <x:c r="A19" s="16" t="s">
        <x:v>41</x:v>
      </x:c>
      <x:c r="B19" s="16" t="s">
        <x:v>42</x:v>
      </x:c>
      <x:c r="C19" s="16" t="s">
        <x:v>43</x:v>
      </x:c>
      <x:c r="D19" s="16" t="s">
        <x:v>44</x:v>
      </x:c>
      <x:c r="E19" s="16" t="s">
        <x:v>45</x:v>
      </x:c>
      <x:c r="F19" s="16" t="s">
        <x:v>46</x:v>
      </x:c>
      <x:c r="G19" s="16" t="s">
        <x:v>47</x:v>
      </x:c>
      <x:c r="H19" s="16" t="s">
        <x:v>48</x:v>
      </x:c>
      <x:c r="I19" s="16" t="s">
        <x:v>49</x:v>
      </x:c>
      <x:c r="J19" s="16" t="s">
        <x:v>50</x:v>
      </x:c>
      <x:c r="K19" s="16" t="s">
        <x:v>21</x:v>
      </x:c>
      <x:c r="L19" s="16" t="s">
        <x:v>51</x:v>
      </x:c>
      <x:c r="M19" s="16" t="s">
        <x:v>23</x:v>
      </x:c>
    </x:row>
    <x:row r="20" ht="13.899999618530273">
      <x:c r="A20" s="58">
        <x:v>1</x:v>
      </x:c>
      <x:c r="B20" s="58" t="str">
        <x:f t="shared" ref="B20:B50" si="0">IF(A20&lt;=$B$9,"第"&amp;A20&amp;"天","未启用")</x:f>
        <x:v>第1天</x:v>
      </x:c>
      <x:c r="C20" s="65" t="s">
        <x:v>28</x:v>
      </x:c>
      <x:c r="D20" s="65" t="s">
        <x:v>52</x:v>
      </x:c>
      <x:c r="E20" s="65" t="s">
        <x:v>53</x:v>
      </x:c>
      <x:c r="F20" s="66" t="str">
        <x:f t="shared" ref="F20:F50" si="1">IF(A20&gt;$B$9,"",IF(D20="是","训练日模板",IF(D20="否","休息日模板","待设置")))</x:f>
        <x:v>训练日模板</x:v>
      </x:c>
      <x:c r="G20" s="59" t="n">
        <x:f t="shared" ref="G20:G50" si="2">IF(A20&gt;$B$9,"",IFERROR(INDEX($F$13:$F$15,MATCH(C20,$A$13:$A$15,0)),""))</x:f>
        <x:v>150.8450704225352</x:v>
      </x:c>
      <x:c r="H20" s="59" t="n">
        <x:f t="shared" ref="H20:H50" si="3">IF(A20&gt;$B$9,"",$B$4*$B$6)</x:f>
        <x:v>118.99999999999999</x:v>
      </x:c>
      <x:c r="I20" s="59" t="n">
        <x:f t="shared" ref="I20:I50" si="4">IF(A20&gt;$B$9,"",IFERROR(INDEX($H$13:$H$15,MATCH(C20,$A$13:$A$15,0)),""))</x:f>
        <x:v>76.51330203442882</x:v>
      </x:c>
      <x:c r="J20" s="68" t="n">
        <x:f t="shared" ref="J20:J50" si="5">IF(A20&gt;$B$9,"",IF(OR(G20="",H20="",I20=""),"",G20*4+H20*4+I20*9))</x:f>
        <x:v>1768</x:v>
      </x:c>
      <x:c r="K20" s="59" t="n">
        <x:f t="shared" ref="K20:K50" si="6">IF(OR(A20&gt;$B$9,$B$4=0),"",G20/$B$4)</x:f>
        <x:v>1.7746478873239435</x:v>
      </x:c>
      <x:c r="L20" s="59" t="n">
        <x:f t="shared" ref="L20:L50" si="7">IF(OR(A20&gt;$B$9,$B$4=0),"",I20/$B$4)</x:f>
        <x:v>0.900156494522692</x:v>
      </x:c>
      <x:c r="M20" s="66" t="str">
        <x:f t="shared" ref="M20:M50" si="8">IF(A20&gt;$B$9,"未启用",IF(C20="","需设置碳类型",IF(AND(D20&lt;&gt;"是",D20&lt;&gt;"否"),"需设置训练",IF(AND(D20="是",OR(E20="",E20="-")),"请填训练时间",IF(AND(D20="否",E20&lt;&gt;"-"),"休息日时间应为-",IF(I20=0,"脂肪为0：提高热量","正常"))))))</x:f>
        <x:v>正常</x:v>
      </x:c>
    </x:row>
    <x:row r="21" ht="13.899999618530273">
      <x:c r="A21" s="58">
        <x:v>2</x:v>
      </x:c>
      <x:c r="B21" s="58" t="str">
        <x:f t="shared" si="0"/>
        <x:v>第2天</x:v>
      </x:c>
      <x:c r="C21" s="65" t="s">
        <x:v>31</x:v>
      </x:c>
      <x:c r="D21" s="65" t="s">
        <x:v>54</x:v>
      </x:c>
      <x:c r="E21" s="65" t="s">
        <x:v>55</x:v>
      </x:c>
      <x:c r="F21" s="66" t="str">
        <x:f t="shared" si="1"/>
        <x:v>休息日模板</x:v>
      </x:c>
      <x:c r="G21" s="59">
        <x:f t="shared" si="2"/>
        <x:v>100.56338028169</x:v>
      </x:c>
      <x:c r="H21" s="59">
        <x:f t="shared" si="3"/>
        <x:v>119</x:v>
      </x:c>
      <x:c r="I21" s="59">
        <x:f t="shared" si="4"/>
        <x:v>98.8607198748044</x:v>
      </x:c>
      <x:c r="J21" s="68">
        <x:f t="shared" si="5"/>
        <x:v>1768</x:v>
      </x:c>
      <x:c r="K21" s="59">
        <x:f t="shared" si="6"/>
        <x:v>1.1830985915493</x:v>
      </x:c>
      <x:c r="L21" s="59">
        <x:f t="shared" si="7"/>
        <x:v>1.16306729264476</x:v>
      </x:c>
      <x:c r="M21" s="66" t="str">
        <x:f t="shared" si="8"/>
        <x:v>正常</x:v>
      </x:c>
    </x:row>
    <x:row r="22" ht="13.899999618530273">
      <x:c r="A22" s="58">
        <x:v>3</x:v>
      </x:c>
      <x:c r="B22" s="58" t="str">
        <x:f t="shared" si="0"/>
        <x:v>第3天</x:v>
      </x:c>
      <x:c r="C22" s="65" t="s">
        <x:v>28</x:v>
      </x:c>
      <x:c r="D22" s="65" t="s">
        <x:v>52</x:v>
      </x:c>
      <x:c r="E22" s="65" t="s">
        <x:v>53</x:v>
      </x:c>
      <x:c r="F22" s="66" t="str">
        <x:f t="shared" si="1"/>
        <x:v>训练日模板</x:v>
      </x:c>
      <x:c r="G22" s="59">
        <x:f t="shared" si="2"/>
        <x:v>150.845070422535</x:v>
      </x:c>
      <x:c r="H22" s="59">
        <x:f t="shared" si="3"/>
        <x:v>119</x:v>
      </x:c>
      <x:c r="I22" s="59">
        <x:f t="shared" si="4"/>
        <x:v>76.5133020344288</x:v>
      </x:c>
      <x:c r="J22" s="68">
        <x:f t="shared" si="5"/>
        <x:v>1768</x:v>
      </x:c>
      <x:c r="K22" s="59">
        <x:f t="shared" si="6"/>
        <x:v>1.77464788732394</x:v>
      </x:c>
      <x:c r="L22" s="59">
        <x:f t="shared" si="7"/>
        <x:v>0.900156494522692</x:v>
      </x:c>
      <x:c r="M22" s="66" t="str">
        <x:f t="shared" si="8"/>
        <x:v>正常</x:v>
      </x:c>
    </x:row>
    <x:row r="23" ht="13.899999618530273">
      <x:c r="A23" s="58">
        <x:v>4</x:v>
      </x:c>
      <x:c r="B23" s="58" t="str">
        <x:f t="shared" si="0"/>
        <x:v>第4天</x:v>
      </x:c>
      <x:c r="C23" s="65" t="s">
        <x:v>25</x:v>
      </x:c>
      <x:c r="D23" s="65" t="s">
        <x:v>52</x:v>
      </x:c>
      <x:c r="E23" s="65" t="s">
        <x:v>53</x:v>
      </x:c>
      <x:c r="F23" s="66" t="str">
        <x:f t="shared" si="1"/>
        <x:v>训练日模板</x:v>
      </x:c>
      <x:c r="G23" s="59">
        <x:f t="shared" si="2"/>
        <x:v>268.169014084507</x:v>
      </x:c>
      <x:c r="H23" s="59">
        <x:f t="shared" si="3"/>
        <x:v>119</x:v>
      </x:c>
      <x:c r="I23" s="59">
        <x:f t="shared" si="4"/>
        <x:v>24.3693270735524</x:v>
      </x:c>
      <x:c r="J23" s="68">
        <x:f t="shared" si="5"/>
        <x:v>1768</x:v>
      </x:c>
      <x:c r="K23" s="59">
        <x:f t="shared" si="6"/>
        <x:v>3.15492957746479</x:v>
      </x:c>
      <x:c r="L23" s="59">
        <x:f t="shared" si="7"/>
        <x:v>0.286697965571205</x:v>
      </x:c>
      <x:c r="M23" s="66" t="str">
        <x:f t="shared" si="8"/>
        <x:v>正常</x:v>
      </x:c>
    </x:row>
    <x:row r="24" ht="13.899999618530273">
      <x:c r="A24" s="58">
        <x:v>5</x:v>
      </x:c>
      <x:c r="B24" s="58" t="str">
        <x:f t="shared" si="0"/>
        <x:v>第5天</x:v>
      </x:c>
      <x:c r="C24" s="65" t="s">
        <x:v>31</x:v>
      </x:c>
      <x:c r="D24" s="65" t="s">
        <x:v>54</x:v>
      </x:c>
      <x:c r="E24" s="65" t="s">
        <x:v>55</x:v>
      </x:c>
      <x:c r="F24" s="66" t="str">
        <x:f t="shared" si="1"/>
        <x:v>休息日模板</x:v>
      </x:c>
      <x:c r="G24" s="59">
        <x:f t="shared" si="2"/>
        <x:v>100.56338028169</x:v>
      </x:c>
      <x:c r="H24" s="59">
        <x:f t="shared" si="3"/>
        <x:v>119</x:v>
      </x:c>
      <x:c r="I24" s="59">
        <x:f t="shared" si="4"/>
        <x:v>98.8607198748044</x:v>
      </x:c>
      <x:c r="J24" s="68">
        <x:f t="shared" si="5"/>
        <x:v>1768</x:v>
      </x:c>
      <x:c r="K24" s="59">
        <x:f t="shared" si="6"/>
        <x:v>1.1830985915493</x:v>
      </x:c>
      <x:c r="L24" s="59">
        <x:f t="shared" si="7"/>
        <x:v>1.16306729264476</x:v>
      </x:c>
      <x:c r="M24" s="66" t="str">
        <x:f t="shared" si="8"/>
        <x:v>正常</x:v>
      </x:c>
    </x:row>
    <x:row r="25" ht="13.899999618530273">
      <x:c r="A25" s="58">
        <x:v>6</x:v>
      </x:c>
      <x:c r="B25" s="58" t="str">
        <x:f t="shared" si="0"/>
        <x:v>第6天</x:v>
      </x:c>
      <x:c r="C25" s="65" t="s">
        <x:v>28</x:v>
      </x:c>
      <x:c r="D25" s="65" t="s">
        <x:v>52</x:v>
      </x:c>
      <x:c r="E25" s="65" t="s">
        <x:v>53</x:v>
      </x:c>
      <x:c r="F25" s="66" t="str">
        <x:f t="shared" si="1"/>
        <x:v>训练日模板</x:v>
      </x:c>
      <x:c r="G25" s="59">
        <x:f t="shared" si="2"/>
        <x:v>150.845070422535</x:v>
      </x:c>
      <x:c r="H25" s="59">
        <x:f t="shared" si="3"/>
        <x:v>119</x:v>
      </x:c>
      <x:c r="I25" s="59">
        <x:f t="shared" si="4"/>
        <x:v>76.5133020344288</x:v>
      </x:c>
      <x:c r="J25" s="68">
        <x:f t="shared" si="5"/>
        <x:v>1768</x:v>
      </x:c>
      <x:c r="K25" s="59">
        <x:f t="shared" si="6"/>
        <x:v>1.77464788732394</x:v>
      </x:c>
      <x:c r="L25" s="59">
        <x:f t="shared" si="7"/>
        <x:v>0.900156494522692</x:v>
      </x:c>
      <x:c r="M25" s="66" t="str">
        <x:f t="shared" si="8"/>
        <x:v>正常</x:v>
      </x:c>
    </x:row>
    <x:row r="26" ht="13.899999618530273">
      <x:c r="A26" s="58">
        <x:v>7</x:v>
      </x:c>
      <x:c r="B26" s="58" t="str">
        <x:f t="shared" si="0"/>
        <x:v>第7天</x:v>
      </x:c>
      <x:c r="C26" s="65" t="s">
        <x:v>25</x:v>
      </x:c>
      <x:c r="D26" s="65" t="s">
        <x:v>54</x:v>
      </x:c>
      <x:c r="E26" s="65" t="s">
        <x:v>55</x:v>
      </x:c>
      <x:c r="F26" s="66" t="str">
        <x:f t="shared" si="1"/>
        <x:v>休息日模板</x:v>
      </x:c>
      <x:c r="G26" s="59">
        <x:f t="shared" si="2"/>
        <x:v>268.169014084507</x:v>
      </x:c>
      <x:c r="H26" s="59">
        <x:f t="shared" si="3"/>
        <x:v>119</x:v>
      </x:c>
      <x:c r="I26" s="59">
        <x:f t="shared" si="4"/>
        <x:v>24.3693270735524</x:v>
      </x:c>
      <x:c r="J26" s="68">
        <x:f t="shared" si="5"/>
        <x:v>1768</x:v>
      </x:c>
      <x:c r="K26" s="59">
        <x:f t="shared" si="6"/>
        <x:v>3.15492957746479</x:v>
      </x:c>
      <x:c r="L26" s="59">
        <x:f t="shared" si="7"/>
        <x:v>0.286697965571205</x:v>
      </x:c>
      <x:c r="M26" s="66" t="str">
        <x:f t="shared" si="8"/>
        <x:v>正常</x:v>
      </x:c>
    </x:row>
    <x:row r="27" ht="13.899999618530273">
      <x:c r="A27" s="58">
        <x:v>8</x:v>
      </x:c>
      <x:c r="B27" s="58" t="str">
        <x:f t="shared" si="0"/>
        <x:v>未启用</x:v>
      </x:c>
      <x:c r="C27" s="65" t="s">
        <x:v>28</x:v>
      </x:c>
      <x:c r="D27" s="65" t="s">
        <x:v>52</x:v>
      </x:c>
      <x:c r="E27" s="65" t="s">
        <x:v>53</x:v>
      </x:c>
      <x:c r="F27" s="66" t="str">
        <x:f t="shared" si="1"/>
      </x:c>
      <x:c r="G27" s="59" t="str">
        <x:f t="shared" si="2"/>
      </x:c>
      <x:c r="H27" s="59" t="str">
        <x:f t="shared" si="3"/>
      </x:c>
      <x:c r="I27" s="59" t="str">
        <x:f t="shared" si="4"/>
      </x:c>
      <x:c r="J27" s="68" t="str">
        <x:f t="shared" si="5"/>
      </x:c>
      <x:c r="K27" s="59" t="str">
        <x:f t="shared" si="6"/>
      </x:c>
      <x:c r="L27" s="59" t="str">
        <x:f t="shared" si="7"/>
      </x:c>
      <x:c r="M27" s="66" t="str">
        <x:f t="shared" si="8"/>
        <x:v>未启用</x:v>
      </x:c>
    </x:row>
    <x:row r="28" ht="13.899999618530273">
      <x:c r="A28" s="58">
        <x:v>9</x:v>
      </x:c>
      <x:c r="B28" s="58" t="str">
        <x:f t="shared" si="0"/>
        <x:v>未启用</x:v>
      </x:c>
      <x:c r="C28" s="65" t="s">
        <x:v>31</x:v>
      </x:c>
      <x:c r="D28" s="65" t="s">
        <x:v>54</x:v>
      </x:c>
      <x:c r="E28" s="65" t="s">
        <x:v>55</x:v>
      </x:c>
      <x:c r="F28" s="66" t="str">
        <x:f t="shared" si="1"/>
      </x:c>
      <x:c r="G28" s="59" t="str">
        <x:f t="shared" si="2"/>
      </x:c>
      <x:c r="H28" s="59" t="str">
        <x:f t="shared" si="3"/>
      </x:c>
      <x:c r="I28" s="59" t="str">
        <x:f t="shared" si="4"/>
      </x:c>
      <x:c r="J28" s="68" t="str">
        <x:f t="shared" si="5"/>
      </x:c>
      <x:c r="K28" s="59" t="str">
        <x:f t="shared" si="6"/>
      </x:c>
      <x:c r="L28" s="59" t="str">
        <x:f t="shared" si="7"/>
      </x:c>
      <x:c r="M28" s="66" t="str">
        <x:f t="shared" si="8"/>
        <x:v>未启用</x:v>
      </x:c>
    </x:row>
    <x:row r="29" ht="13.899999618530273">
      <x:c r="A29" s="58">
        <x:v>10</x:v>
      </x:c>
      <x:c r="B29" s="58" t="str">
        <x:f t="shared" si="0"/>
        <x:v>未启用</x:v>
      </x:c>
      <x:c r="C29" s="65" t="s">
        <x:v>28</x:v>
      </x:c>
      <x:c r="D29" s="65" t="s">
        <x:v>52</x:v>
      </x:c>
      <x:c r="E29" s="65" t="s">
        <x:v>53</x:v>
      </x:c>
      <x:c r="F29" s="66" t="str">
        <x:f t="shared" si="1"/>
      </x:c>
      <x:c r="G29" s="59" t="str">
        <x:f t="shared" si="2"/>
      </x:c>
      <x:c r="H29" s="59" t="str">
        <x:f t="shared" si="3"/>
      </x:c>
      <x:c r="I29" s="59" t="str">
        <x:f t="shared" si="4"/>
      </x:c>
      <x:c r="J29" s="68" t="str">
        <x:f t="shared" si="5"/>
      </x:c>
      <x:c r="K29" s="59" t="str">
        <x:f t="shared" si="6"/>
      </x:c>
      <x:c r="L29" s="59" t="str">
        <x:f t="shared" si="7"/>
      </x:c>
      <x:c r="M29" s="66" t="str">
        <x:f t="shared" si="8"/>
        <x:v>未启用</x:v>
      </x:c>
    </x:row>
    <x:row r="30" ht="13.899999618530273">
      <x:c r="A30" s="58">
        <x:v>11</x:v>
      </x:c>
      <x:c r="B30" s="58" t="str">
        <x:f t="shared" si="0"/>
        <x:v>未启用</x:v>
      </x:c>
      <x:c r="C30" s="65" t="s">
        <x:v>25</x:v>
      </x:c>
      <x:c r="D30" s="65" t="s">
        <x:v>52</x:v>
      </x:c>
      <x:c r="E30" s="65" t="s">
        <x:v>53</x:v>
      </x:c>
      <x:c r="F30" s="66" t="str">
        <x:f t="shared" si="1"/>
      </x:c>
      <x:c r="G30" s="59" t="str">
        <x:f t="shared" si="2"/>
      </x:c>
      <x:c r="H30" s="59" t="str">
        <x:f t="shared" si="3"/>
      </x:c>
      <x:c r="I30" s="59" t="str">
        <x:f t="shared" si="4"/>
      </x:c>
      <x:c r="J30" s="68" t="str">
        <x:f t="shared" si="5"/>
      </x:c>
      <x:c r="K30" s="59" t="str">
        <x:f t="shared" si="6"/>
      </x:c>
      <x:c r="L30" s="59" t="str">
        <x:f t="shared" si="7"/>
      </x:c>
      <x:c r="M30" s="66" t="str">
        <x:f t="shared" si="8"/>
        <x:v>未启用</x:v>
      </x:c>
    </x:row>
    <x:row r="31" ht="13.899999618530273">
      <x:c r="A31" s="58">
        <x:v>12</x:v>
      </x:c>
      <x:c r="B31" s="58" t="str">
        <x:f t="shared" si="0"/>
        <x:v>未启用</x:v>
      </x:c>
      <x:c r="C31" s="65" t="s">
        <x:v>31</x:v>
      </x:c>
      <x:c r="D31" s="65" t="s">
        <x:v>54</x:v>
      </x:c>
      <x:c r="E31" s="65" t="s">
        <x:v>55</x:v>
      </x:c>
      <x:c r="F31" s="66" t="str">
        <x:f t="shared" si="1"/>
      </x:c>
      <x:c r="G31" s="59" t="str">
        <x:f t="shared" si="2"/>
      </x:c>
      <x:c r="H31" s="59" t="str">
        <x:f t="shared" si="3"/>
      </x:c>
      <x:c r="I31" s="59" t="str">
        <x:f t="shared" si="4"/>
      </x:c>
      <x:c r="J31" s="68" t="str">
        <x:f t="shared" si="5"/>
      </x:c>
      <x:c r="K31" s="59" t="str">
        <x:f t="shared" si="6"/>
      </x:c>
      <x:c r="L31" s="59" t="str">
        <x:f t="shared" si="7"/>
      </x:c>
      <x:c r="M31" s="66" t="str">
        <x:f t="shared" si="8"/>
        <x:v>未启用</x:v>
      </x:c>
    </x:row>
    <x:row r="32" ht="13.899999618530273">
      <x:c r="A32" s="58">
        <x:v>13</x:v>
      </x:c>
      <x:c r="B32" s="58" t="str">
        <x:f t="shared" si="0"/>
        <x:v>未启用</x:v>
      </x:c>
      <x:c r="C32" s="65" t="s">
        <x:v>28</x:v>
      </x:c>
      <x:c r="D32" s="65" t="s">
        <x:v>52</x:v>
      </x:c>
      <x:c r="E32" s="65" t="s">
        <x:v>53</x:v>
      </x:c>
      <x:c r="F32" s="66" t="str">
        <x:f t="shared" si="1"/>
      </x:c>
      <x:c r="G32" s="59" t="str">
        <x:f t="shared" si="2"/>
      </x:c>
      <x:c r="H32" s="59" t="str">
        <x:f t="shared" si="3"/>
      </x:c>
      <x:c r="I32" s="59" t="str">
        <x:f t="shared" si="4"/>
      </x:c>
      <x:c r="J32" s="68" t="str">
        <x:f t="shared" si="5"/>
      </x:c>
      <x:c r="K32" s="59" t="str">
        <x:f t="shared" si="6"/>
      </x:c>
      <x:c r="L32" s="59" t="str">
        <x:f t="shared" si="7"/>
      </x:c>
      <x:c r="M32" s="66" t="str">
        <x:f t="shared" si="8"/>
        <x:v>未启用</x:v>
      </x:c>
    </x:row>
    <x:row r="33" ht="13.899999618530273">
      <x:c r="A33" s="58">
        <x:v>14</x:v>
      </x:c>
      <x:c r="B33" s="58" t="str">
        <x:f t="shared" si="0"/>
        <x:v>未启用</x:v>
      </x:c>
      <x:c r="C33" s="65" t="s">
        <x:v>25</x:v>
      </x:c>
      <x:c r="D33" s="65" t="s">
        <x:v>54</x:v>
      </x:c>
      <x:c r="E33" s="65" t="s">
        <x:v>55</x:v>
      </x:c>
      <x:c r="F33" s="66" t="str">
        <x:f t="shared" si="1"/>
      </x:c>
      <x:c r="G33" s="59" t="str">
        <x:f t="shared" si="2"/>
      </x:c>
      <x:c r="H33" s="59" t="str">
        <x:f t="shared" si="3"/>
      </x:c>
      <x:c r="I33" s="59" t="str">
        <x:f t="shared" si="4"/>
      </x:c>
      <x:c r="J33" s="68" t="str">
        <x:f t="shared" si="5"/>
      </x:c>
      <x:c r="K33" s="59" t="str">
        <x:f t="shared" si="6"/>
      </x:c>
      <x:c r="L33" s="59" t="str">
        <x:f t="shared" si="7"/>
      </x:c>
      <x:c r="M33" s="66" t="str">
        <x:f t="shared" si="8"/>
        <x:v>未启用</x:v>
      </x:c>
    </x:row>
    <x:row r="34" ht="13.899999618530273">
      <x:c r="A34" s="58">
        <x:v>15</x:v>
      </x:c>
      <x:c r="B34" s="58" t="str">
        <x:f t="shared" si="0"/>
        <x:v>未启用</x:v>
      </x:c>
      <x:c r="C34" s="65" t="s">
        <x:v>28</x:v>
      </x:c>
      <x:c r="D34" s="65" t="s">
        <x:v>52</x:v>
      </x:c>
      <x:c r="E34" s="65" t="s">
        <x:v>53</x:v>
      </x:c>
      <x:c r="F34" s="66" t="str">
        <x:f t="shared" si="1"/>
      </x:c>
      <x:c r="G34" s="59" t="str">
        <x:f t="shared" si="2"/>
      </x:c>
      <x:c r="H34" s="59" t="str">
        <x:f t="shared" si="3"/>
      </x:c>
      <x:c r="I34" s="59" t="str">
        <x:f t="shared" si="4"/>
      </x:c>
      <x:c r="J34" s="68" t="str">
        <x:f t="shared" si="5"/>
      </x:c>
      <x:c r="K34" s="59" t="str">
        <x:f t="shared" si="6"/>
      </x:c>
      <x:c r="L34" s="59" t="str">
        <x:f t="shared" si="7"/>
      </x:c>
      <x:c r="M34" s="66" t="str">
        <x:f t="shared" si="8"/>
        <x:v>未启用</x:v>
      </x:c>
    </x:row>
    <x:row r="35" ht="13.899999618530273">
      <x:c r="A35" s="58">
        <x:v>16</x:v>
      </x:c>
      <x:c r="B35" s="58" t="str">
        <x:f t="shared" si="0"/>
        <x:v>未启用</x:v>
      </x:c>
      <x:c r="C35" s="65" t="s">
        <x:v>31</x:v>
      </x:c>
      <x:c r="D35" s="65" t="s">
        <x:v>54</x:v>
      </x:c>
      <x:c r="E35" s="65" t="s">
        <x:v>55</x:v>
      </x:c>
      <x:c r="F35" s="66" t="str">
        <x:f t="shared" si="1"/>
      </x:c>
      <x:c r="G35" s="59" t="str">
        <x:f t="shared" si="2"/>
      </x:c>
      <x:c r="H35" s="59" t="str">
        <x:f t="shared" si="3"/>
      </x:c>
      <x:c r="I35" s="59" t="str">
        <x:f t="shared" si="4"/>
      </x:c>
      <x:c r="J35" s="68" t="str">
        <x:f t="shared" si="5"/>
      </x:c>
      <x:c r="K35" s="59" t="str">
        <x:f t="shared" si="6"/>
      </x:c>
      <x:c r="L35" s="59" t="str">
        <x:f t="shared" si="7"/>
      </x:c>
      <x:c r="M35" s="66" t="str">
        <x:f t="shared" si="8"/>
        <x:v>未启用</x:v>
      </x:c>
    </x:row>
    <x:row r="36" ht="13.899999618530273">
      <x:c r="A36" s="58">
        <x:v>17</x:v>
      </x:c>
      <x:c r="B36" s="58" t="str">
        <x:f t="shared" si="0"/>
        <x:v>未启用</x:v>
      </x:c>
      <x:c r="C36" s="65" t="s">
        <x:v>28</x:v>
      </x:c>
      <x:c r="D36" s="65" t="s">
        <x:v>52</x:v>
      </x:c>
      <x:c r="E36" s="65" t="s">
        <x:v>53</x:v>
      </x:c>
      <x:c r="F36" s="66" t="str">
        <x:f t="shared" si="1"/>
      </x:c>
      <x:c r="G36" s="59" t="str">
        <x:f t="shared" si="2"/>
      </x:c>
      <x:c r="H36" s="59" t="str">
        <x:f t="shared" si="3"/>
      </x:c>
      <x:c r="I36" s="59" t="str">
        <x:f t="shared" si="4"/>
      </x:c>
      <x:c r="J36" s="68" t="str">
        <x:f t="shared" si="5"/>
      </x:c>
      <x:c r="K36" s="59" t="str">
        <x:f t="shared" si="6"/>
      </x:c>
      <x:c r="L36" s="59" t="str">
        <x:f t="shared" si="7"/>
      </x:c>
      <x:c r="M36" s="66" t="str">
        <x:f t="shared" si="8"/>
        <x:v>未启用</x:v>
      </x:c>
    </x:row>
    <x:row r="37" ht="13.899999618530273">
      <x:c r="A37" s="58">
        <x:v>18</x:v>
      </x:c>
      <x:c r="B37" s="58" t="str">
        <x:f t="shared" si="0"/>
        <x:v>未启用</x:v>
      </x:c>
      <x:c r="C37" s="65" t="s">
        <x:v>25</x:v>
      </x:c>
      <x:c r="D37" s="65" t="s">
        <x:v>52</x:v>
      </x:c>
      <x:c r="E37" s="65" t="s">
        <x:v>53</x:v>
      </x:c>
      <x:c r="F37" s="66" t="str">
        <x:f t="shared" si="1"/>
      </x:c>
      <x:c r="G37" s="59" t="str">
        <x:f t="shared" si="2"/>
      </x:c>
      <x:c r="H37" s="59" t="str">
        <x:f t="shared" si="3"/>
      </x:c>
      <x:c r="I37" s="59" t="str">
        <x:f t="shared" si="4"/>
      </x:c>
      <x:c r="J37" s="68" t="str">
        <x:f t="shared" si="5"/>
      </x:c>
      <x:c r="K37" s="59" t="str">
        <x:f t="shared" si="6"/>
      </x:c>
      <x:c r="L37" s="59" t="str">
        <x:f t="shared" si="7"/>
      </x:c>
      <x:c r="M37" s="66" t="str">
        <x:f t="shared" si="8"/>
        <x:v>未启用</x:v>
      </x:c>
    </x:row>
    <x:row r="38" ht="13.899999618530273">
      <x:c r="A38" s="58">
        <x:v>19</x:v>
      </x:c>
      <x:c r="B38" s="58" t="str">
        <x:f t="shared" si="0"/>
        <x:v>未启用</x:v>
      </x:c>
      <x:c r="C38" s="65" t="s">
        <x:v>31</x:v>
      </x:c>
      <x:c r="D38" s="65" t="s">
        <x:v>54</x:v>
      </x:c>
      <x:c r="E38" s="65" t="s">
        <x:v>55</x:v>
      </x:c>
      <x:c r="F38" s="66" t="str">
        <x:f t="shared" si="1"/>
      </x:c>
      <x:c r="G38" s="59" t="str">
        <x:f t="shared" si="2"/>
      </x:c>
      <x:c r="H38" s="59" t="str">
        <x:f t="shared" si="3"/>
      </x:c>
      <x:c r="I38" s="59" t="str">
        <x:f t="shared" si="4"/>
      </x:c>
      <x:c r="J38" s="68" t="str">
        <x:f t="shared" si="5"/>
      </x:c>
      <x:c r="K38" s="59" t="str">
        <x:f t="shared" si="6"/>
      </x:c>
      <x:c r="L38" s="59" t="str">
        <x:f t="shared" si="7"/>
      </x:c>
      <x:c r="M38" s="66" t="str">
        <x:f t="shared" si="8"/>
        <x:v>未启用</x:v>
      </x:c>
    </x:row>
    <x:row r="39" ht="13.899999618530273">
      <x:c r="A39" s="58">
        <x:v>20</x:v>
      </x:c>
      <x:c r="B39" s="58" t="str">
        <x:f t="shared" si="0"/>
        <x:v>未启用</x:v>
      </x:c>
      <x:c r="C39" s="65" t="s">
        <x:v>28</x:v>
      </x:c>
      <x:c r="D39" s="65" t="s">
        <x:v>52</x:v>
      </x:c>
      <x:c r="E39" s="65" t="s">
        <x:v>53</x:v>
      </x:c>
      <x:c r="F39" s="66" t="str">
        <x:f t="shared" si="1"/>
      </x:c>
      <x:c r="G39" s="59" t="str">
        <x:f t="shared" si="2"/>
      </x:c>
      <x:c r="H39" s="59" t="str">
        <x:f t="shared" si="3"/>
      </x:c>
      <x:c r="I39" s="59" t="str">
        <x:f t="shared" si="4"/>
      </x:c>
      <x:c r="J39" s="68" t="str">
        <x:f t="shared" si="5"/>
      </x:c>
      <x:c r="K39" s="59" t="str">
        <x:f t="shared" si="6"/>
      </x:c>
      <x:c r="L39" s="59" t="str">
        <x:f t="shared" si="7"/>
      </x:c>
      <x:c r="M39" s="66" t="str">
        <x:f t="shared" si="8"/>
        <x:v>未启用</x:v>
      </x:c>
    </x:row>
    <x:row r="40" ht="13.899999618530273">
      <x:c r="A40" s="58">
        <x:v>21</x:v>
      </x:c>
      <x:c r="B40" s="58" t="str">
        <x:f t="shared" si="0"/>
        <x:v>未启用</x:v>
      </x:c>
      <x:c r="C40" s="65" t="s">
        <x:v>25</x:v>
      </x:c>
      <x:c r="D40" s="65" t="s">
        <x:v>54</x:v>
      </x:c>
      <x:c r="E40" s="65" t="s">
        <x:v>55</x:v>
      </x:c>
      <x:c r="F40" s="66" t="str">
        <x:f t="shared" si="1"/>
      </x:c>
      <x:c r="G40" s="59" t="str">
        <x:f t="shared" si="2"/>
      </x:c>
      <x:c r="H40" s="59" t="str">
        <x:f t="shared" si="3"/>
      </x:c>
      <x:c r="I40" s="59" t="str">
        <x:f t="shared" si="4"/>
      </x:c>
      <x:c r="J40" s="68" t="str">
        <x:f t="shared" si="5"/>
      </x:c>
      <x:c r="K40" s="59" t="str">
        <x:f t="shared" si="6"/>
      </x:c>
      <x:c r="L40" s="59" t="str">
        <x:f t="shared" si="7"/>
      </x:c>
      <x:c r="M40" s="66" t="str">
        <x:f t="shared" si="8"/>
        <x:v>未启用</x:v>
      </x:c>
    </x:row>
    <x:row r="41" ht="13.899999618530273">
      <x:c r="A41" s="58">
        <x:v>22</x:v>
      </x:c>
      <x:c r="B41" s="58" t="str">
        <x:f t="shared" si="0"/>
        <x:v>未启用</x:v>
      </x:c>
      <x:c r="C41" s="65" t="s">
        <x:v>28</x:v>
      </x:c>
      <x:c r="D41" s="65" t="s">
        <x:v>52</x:v>
      </x:c>
      <x:c r="E41" s="65" t="s">
        <x:v>53</x:v>
      </x:c>
      <x:c r="F41" s="66" t="str">
        <x:f t="shared" si="1"/>
      </x:c>
      <x:c r="G41" s="59" t="str">
        <x:f t="shared" si="2"/>
      </x:c>
      <x:c r="H41" s="59" t="str">
        <x:f t="shared" si="3"/>
      </x:c>
      <x:c r="I41" s="59" t="str">
        <x:f t="shared" si="4"/>
      </x:c>
      <x:c r="J41" s="68" t="str">
        <x:f t="shared" si="5"/>
      </x:c>
      <x:c r="K41" s="59" t="str">
        <x:f t="shared" si="6"/>
      </x:c>
      <x:c r="L41" s="59" t="str">
        <x:f t="shared" si="7"/>
      </x:c>
      <x:c r="M41" s="66" t="str">
        <x:f t="shared" si="8"/>
        <x:v>未启用</x:v>
      </x:c>
    </x:row>
    <x:row r="42" ht="13.899999618530273">
      <x:c r="A42" s="58">
        <x:v>23</x:v>
      </x:c>
      <x:c r="B42" s="58" t="str">
        <x:f t="shared" si="0"/>
        <x:v>未启用</x:v>
      </x:c>
      <x:c r="C42" s="65" t="s">
        <x:v>31</x:v>
      </x:c>
      <x:c r="D42" s="65" t="s">
        <x:v>54</x:v>
      </x:c>
      <x:c r="E42" s="65" t="s">
        <x:v>55</x:v>
      </x:c>
      <x:c r="F42" s="66" t="str">
        <x:f t="shared" si="1"/>
      </x:c>
      <x:c r="G42" s="59" t="str">
        <x:f t="shared" si="2"/>
      </x:c>
      <x:c r="H42" s="59" t="str">
        <x:f t="shared" si="3"/>
      </x:c>
      <x:c r="I42" s="59" t="str">
        <x:f t="shared" si="4"/>
      </x:c>
      <x:c r="J42" s="68" t="str">
        <x:f t="shared" si="5"/>
      </x:c>
      <x:c r="K42" s="59" t="str">
        <x:f t="shared" si="6"/>
      </x:c>
      <x:c r="L42" s="59" t="str">
        <x:f t="shared" si="7"/>
      </x:c>
      <x:c r="M42" s="66" t="str">
        <x:f t="shared" si="8"/>
        <x:v>未启用</x:v>
      </x:c>
    </x:row>
    <x:row r="43" ht="13.899999618530273">
      <x:c r="A43" s="58">
        <x:v>24</x:v>
      </x:c>
      <x:c r="B43" s="58" t="str">
        <x:f t="shared" si="0"/>
        <x:v>未启用</x:v>
      </x:c>
      <x:c r="C43" s="65" t="s">
        <x:v>28</x:v>
      </x:c>
      <x:c r="D43" s="65" t="s">
        <x:v>52</x:v>
      </x:c>
      <x:c r="E43" s="65" t="s">
        <x:v>53</x:v>
      </x:c>
      <x:c r="F43" s="66" t="str">
        <x:f t="shared" si="1"/>
      </x:c>
      <x:c r="G43" s="59" t="str">
        <x:f t="shared" si="2"/>
      </x:c>
      <x:c r="H43" s="59" t="str">
        <x:f t="shared" si="3"/>
      </x:c>
      <x:c r="I43" s="59" t="str">
        <x:f t="shared" si="4"/>
      </x:c>
      <x:c r="J43" s="68" t="str">
        <x:f t="shared" si="5"/>
      </x:c>
      <x:c r="K43" s="59" t="str">
        <x:f t="shared" si="6"/>
      </x:c>
      <x:c r="L43" s="59" t="str">
        <x:f t="shared" si="7"/>
      </x:c>
      <x:c r="M43" s="66" t="str">
        <x:f t="shared" si="8"/>
        <x:v>未启用</x:v>
      </x:c>
    </x:row>
    <x:row r="44" ht="13.899999618530273">
      <x:c r="A44" s="58">
        <x:v>25</x:v>
      </x:c>
      <x:c r="B44" s="58" t="str">
        <x:f t="shared" si="0"/>
        <x:v>未启用</x:v>
      </x:c>
      <x:c r="C44" s="65" t="s">
        <x:v>25</x:v>
      </x:c>
      <x:c r="D44" s="65" t="s">
        <x:v>52</x:v>
      </x:c>
      <x:c r="E44" s="65" t="s">
        <x:v>53</x:v>
      </x:c>
      <x:c r="F44" s="66" t="str">
        <x:f t="shared" si="1"/>
      </x:c>
      <x:c r="G44" s="59" t="str">
        <x:f t="shared" si="2"/>
      </x:c>
      <x:c r="H44" s="59" t="str">
        <x:f t="shared" si="3"/>
      </x:c>
      <x:c r="I44" s="59" t="str">
        <x:f t="shared" si="4"/>
      </x:c>
      <x:c r="J44" s="68" t="str">
        <x:f t="shared" si="5"/>
      </x:c>
      <x:c r="K44" s="59" t="str">
        <x:f t="shared" si="6"/>
      </x:c>
      <x:c r="L44" s="59" t="str">
        <x:f t="shared" si="7"/>
      </x:c>
      <x:c r="M44" s="66" t="str">
        <x:f t="shared" si="8"/>
        <x:v>未启用</x:v>
      </x:c>
    </x:row>
    <x:row r="45" ht="13.899999618530273">
      <x:c r="A45" s="58">
        <x:v>26</x:v>
      </x:c>
      <x:c r="B45" s="58" t="str">
        <x:f t="shared" si="0"/>
        <x:v>未启用</x:v>
      </x:c>
      <x:c r="C45" s="65" t="s">
        <x:v>31</x:v>
      </x:c>
      <x:c r="D45" s="65" t="s">
        <x:v>54</x:v>
      </x:c>
      <x:c r="E45" s="65" t="s">
        <x:v>55</x:v>
      </x:c>
      <x:c r="F45" s="66" t="str">
        <x:f t="shared" si="1"/>
      </x:c>
      <x:c r="G45" s="59" t="str">
        <x:f t="shared" si="2"/>
      </x:c>
      <x:c r="H45" s="59" t="str">
        <x:f t="shared" si="3"/>
      </x:c>
      <x:c r="I45" s="59" t="str">
        <x:f t="shared" si="4"/>
      </x:c>
      <x:c r="J45" s="68" t="str">
        <x:f t="shared" si="5"/>
      </x:c>
      <x:c r="K45" s="59" t="str">
        <x:f t="shared" si="6"/>
      </x:c>
      <x:c r="L45" s="59" t="str">
        <x:f t="shared" si="7"/>
      </x:c>
      <x:c r="M45" s="66" t="str">
        <x:f t="shared" si="8"/>
        <x:v>未启用</x:v>
      </x:c>
    </x:row>
    <x:row r="46" ht="13.899999618530273">
      <x:c r="A46" s="58">
        <x:v>27</x:v>
      </x:c>
      <x:c r="B46" s="58" t="str">
        <x:f t="shared" si="0"/>
        <x:v>未启用</x:v>
      </x:c>
      <x:c r="C46" s="65" t="s">
        <x:v>28</x:v>
      </x:c>
      <x:c r="D46" s="65" t="s">
        <x:v>52</x:v>
      </x:c>
      <x:c r="E46" s="65" t="s">
        <x:v>53</x:v>
      </x:c>
      <x:c r="F46" s="66" t="str">
        <x:f t="shared" si="1"/>
      </x:c>
      <x:c r="G46" s="59" t="str">
        <x:f t="shared" si="2"/>
      </x:c>
      <x:c r="H46" s="59" t="str">
        <x:f t="shared" si="3"/>
      </x:c>
      <x:c r="I46" s="59" t="str">
        <x:f t="shared" si="4"/>
      </x:c>
      <x:c r="J46" s="68" t="str">
        <x:f t="shared" si="5"/>
      </x:c>
      <x:c r="K46" s="59" t="str">
        <x:f t="shared" si="6"/>
      </x:c>
      <x:c r="L46" s="59" t="str">
        <x:f t="shared" si="7"/>
      </x:c>
      <x:c r="M46" s="66" t="str">
        <x:f t="shared" si="8"/>
        <x:v>未启用</x:v>
      </x:c>
    </x:row>
    <x:row r="47" ht="13.899999618530273">
      <x:c r="A47" s="58">
        <x:v>28</x:v>
      </x:c>
      <x:c r="B47" s="58" t="str">
        <x:f t="shared" si="0"/>
        <x:v>未启用</x:v>
      </x:c>
      <x:c r="C47" s="65" t="s">
        <x:v>25</x:v>
      </x:c>
      <x:c r="D47" s="65" t="s">
        <x:v>54</x:v>
      </x:c>
      <x:c r="E47" s="65" t="s">
        <x:v>55</x:v>
      </x:c>
      <x:c r="F47" s="66" t="str">
        <x:f t="shared" si="1"/>
      </x:c>
      <x:c r="G47" s="59" t="str">
        <x:f t="shared" si="2"/>
      </x:c>
      <x:c r="H47" s="59" t="str">
        <x:f t="shared" si="3"/>
      </x:c>
      <x:c r="I47" s="59" t="str">
        <x:f t="shared" si="4"/>
      </x:c>
      <x:c r="J47" s="68" t="str">
        <x:f t="shared" si="5"/>
      </x:c>
      <x:c r="K47" s="59" t="str">
        <x:f t="shared" si="6"/>
      </x:c>
      <x:c r="L47" s="59" t="str">
        <x:f t="shared" si="7"/>
      </x:c>
      <x:c r="M47" s="66" t="str">
        <x:f t="shared" si="8"/>
        <x:v>未启用</x:v>
      </x:c>
    </x:row>
    <x:row r="48" ht="13.899999618530273">
      <x:c r="A48" s="58">
        <x:v>29</x:v>
      </x:c>
      <x:c r="B48" s="58" t="str">
        <x:f t="shared" si="0"/>
        <x:v>未启用</x:v>
      </x:c>
      <x:c r="C48" s="65" t="s">
        <x:v>28</x:v>
      </x:c>
      <x:c r="D48" s="65" t="s">
        <x:v>52</x:v>
      </x:c>
      <x:c r="E48" s="65" t="s">
        <x:v>53</x:v>
      </x:c>
      <x:c r="F48" s="66" t="str">
        <x:f t="shared" si="1"/>
      </x:c>
      <x:c r="G48" s="59" t="str">
        <x:f t="shared" si="2"/>
      </x:c>
      <x:c r="H48" s="59" t="str">
        <x:f t="shared" si="3"/>
      </x:c>
      <x:c r="I48" s="59" t="str">
        <x:f t="shared" si="4"/>
      </x:c>
      <x:c r="J48" s="68" t="str">
        <x:f t="shared" si="5"/>
      </x:c>
      <x:c r="K48" s="59" t="str">
        <x:f t="shared" si="6"/>
      </x:c>
      <x:c r="L48" s="59" t="str">
        <x:f t="shared" si="7"/>
      </x:c>
      <x:c r="M48" s="66" t="str">
        <x:f t="shared" si="8"/>
        <x:v>未启用</x:v>
      </x:c>
    </x:row>
    <x:row r="49" ht="13.899999618530273">
      <x:c r="A49" s="58">
        <x:v>30</x:v>
      </x:c>
      <x:c r="B49" s="58" t="str">
        <x:f t="shared" si="0"/>
        <x:v>未启用</x:v>
      </x:c>
      <x:c r="C49" s="65" t="s">
        <x:v>31</x:v>
      </x:c>
      <x:c r="D49" s="65" t="s">
        <x:v>54</x:v>
      </x:c>
      <x:c r="E49" s="65" t="s">
        <x:v>55</x:v>
      </x:c>
      <x:c r="F49" s="66" t="str">
        <x:f t="shared" si="1"/>
      </x:c>
      <x:c r="G49" s="59" t="str">
        <x:f t="shared" si="2"/>
      </x:c>
      <x:c r="H49" s="59" t="str">
        <x:f t="shared" si="3"/>
      </x:c>
      <x:c r="I49" s="59" t="str">
        <x:f t="shared" si="4"/>
      </x:c>
      <x:c r="J49" s="68" t="str">
        <x:f t="shared" si="5"/>
      </x:c>
      <x:c r="K49" s="59" t="str">
        <x:f t="shared" si="6"/>
      </x:c>
      <x:c r="L49" s="59" t="str">
        <x:f t="shared" si="7"/>
      </x:c>
      <x:c r="M49" s="66" t="str">
        <x:f t="shared" si="8"/>
        <x:v>未启用</x:v>
      </x:c>
    </x:row>
    <x:row r="50" ht="13.899999618530273">
      <x:c r="A50" s="58">
        <x:v>31</x:v>
      </x:c>
      <x:c r="B50" s="58" t="str">
        <x:f t="shared" si="0"/>
        <x:v>未启用</x:v>
      </x:c>
      <x:c r="C50" s="65" t="s">
        <x:v>28</x:v>
      </x:c>
      <x:c r="D50" s="65" t="s">
        <x:v>52</x:v>
      </x:c>
      <x:c r="E50" s="65" t="s">
        <x:v>53</x:v>
      </x:c>
      <x:c r="F50" s="66" t="str">
        <x:f t="shared" si="1"/>
      </x:c>
      <x:c r="G50" s="59" t="str">
        <x:f t="shared" si="2"/>
      </x:c>
      <x:c r="H50" s="59" t="str">
        <x:f t="shared" si="3"/>
      </x:c>
      <x:c r="I50" s="59" t="str">
        <x:f t="shared" si="4"/>
      </x:c>
      <x:c r="J50" s="68" t="str">
        <x:f t="shared" si="5"/>
      </x:c>
      <x:c r="K50" s="59" t="str">
        <x:f t="shared" si="6"/>
      </x:c>
      <x:c r="L50" s="59" t="str">
        <x:f t="shared" si="7"/>
      </x:c>
      <x:c r="M50" s="66" t="str">
        <x:f t="shared" si="8"/>
        <x:v>未启用</x:v>
      </x:c>
    </x:row>
    <x:row r="51" ht="14.649999618530273">
      <x:c r="A51" s="61" t="s">
        <x:v>56</x:v>
      </x:c>
      <x:c r="B51" s="61" t="n">
        <x:f>COUNTIF(B20:B50,"&lt;&gt;未启用")</x:f>
        <x:v>7</x:v>
      </x:c>
      <x:c r="C51" s="61"/>
      <x:c r="D51" s="61"/>
      <x:c r="E51" s="61"/>
      <x:c r="F51" s="61"/>
      <x:c r="G51" s="62" t="n">
        <x:f>SUM(G20:G50)</x:f>
        <x:v>1189.999999999999</x:v>
      </x:c>
      <x:c r="H51" s="62" t="n">
        <x:f>SUM(H20:H50)</x:f>
        <x:v>833</x:v>
      </x:c>
      <x:c r="I51" s="62" t="n">
        <x:f>SUM(I20:I50)</x:f>
        <x:v>476.00000000000006</x:v>
      </x:c>
      <x:c r="J51" s="109" t="n">
        <x:f>SUM(J20:J50)</x:f>
        <x:v>12376</x:v>
      </x:c>
      <x:c r="K51" s="61"/>
      <x:c r="L51" s="61"/>
      <x:c r="M51" s="61" t="str">
        <x:f>IF(COUNTIFS($A$20:$A$50,"&lt;="&amp;$B$9,$M$20:$M$50,"&lt;&gt;正常")=0,"全部正常","请检查提示")</x:f>
        <x:v>全部正常</x:v>
      </x:c>
    </x:row>
    <x:row r="52" ht="13.850000381469727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</x:row>
    <x:row r="53" ht="28" customHeight="1">
      <x:c r="A53" s="63" t="s">
        <x:v>57</x:v>
      </x:c>
      <x:c r="B53" s="63"/>
      <x:c r="C53" s="63"/>
      <x:c r="D53" s="63"/>
      <x:c r="E53" s="63"/>
      <x:c r="F53" s="63"/>
      <x:c r="G53" s="63"/>
      <x:c r="H53" s="63"/>
      <x:c r="I53" s="63"/>
      <x:c r="J53" s="63"/>
      <x:c r="K53" s="63"/>
      <x:c r="L53" s="63"/>
      <x:c r="M53" s="63"/>
    </x:row>
    <x:row r="54" ht="34" customHeight="1">
      <x:c r="A54" s="63" t="s">
        <x:v>58</x:v>
      </x:c>
      <x:c r="B54" s="63"/>
      <x:c r="C54" s="63"/>
      <x:c r="D54" s="63"/>
      <x:c r="E54" s="63"/>
      <x:c r="F54" s="63"/>
      <x:c r="G54" s="63"/>
      <x:c r="H54" s="63"/>
      <x:c r="I54" s="63"/>
      <x:c r="J54" s="63"/>
      <x:c r="K54" s="63"/>
      <x:c r="L54" s="63"/>
      <x:c r="M54" s="63"/>
    </x:row>
    <x:row r="55" ht="36" customHeight="1">
      <x:c r="A55" s="63" t="s">
        <x:v>59</x:v>
      </x:c>
      <x:c r="B55" s="63"/>
      <x:c r="C55" s="63"/>
      <x:c r="D55" s="63"/>
      <x:c r="E55" s="63"/>
      <x:c r="F55" s="63"/>
      <x:c r="G55" s="63"/>
      <x:c r="H55" s="63"/>
      <x:c r="I55" s="63"/>
      <x:c r="J55" s="63"/>
      <x:c r="K55" s="63"/>
      <x:c r="L55" s="63"/>
      <x:c r="M55" s="63"/>
    </x:row>
  </x:sheetData>
  <x:mergeCells>
    <x:mergeCell ref="A1:M1"/>
    <x:mergeCell ref="A3:M3"/>
    <x:mergeCell ref="A11:M11"/>
    <x:mergeCell ref="J12:M12"/>
    <x:mergeCell ref="A18:M18"/>
    <x:mergeCell ref="A53:M53"/>
    <x:mergeCell ref="A54:M54"/>
    <x:mergeCell ref="A55:M55"/>
  </x:mergeCells>
  <x:conditionalFormatting sqref="M51:M51">
    <x:cfRule type="expression" dxfId="0" priority="103">
      <x:formula>$M$51="全部正常"</x:formula>
    </x:cfRule>
  </x:conditionalFormatting>
  <x:dataValidations count="4">
    <x:dataValidation type="whole" operator="between" showInputMessage="1" showErrorMessage="1" sqref="B9">
      <x:formula1>1</x:formula1>
      <x:formula2>31</x:formula2>
    </x:dataValidation>
    <x:dataValidation type="list" allowBlank="1" showInputMessage="1" showErrorMessage="1" sqref="C20:C50">
      <x:formula1>"高碳日,中碳日,低碳日"</x:formula1>
    </x:dataValidation>
    <x:dataValidation type="list" allowBlank="1" showInputMessage="1" showErrorMessage="1" sqref="D20:D50">
      <x:formula1>"是,否"</x:formula1>
    </x:dataValidation>
    <x:dataValidation type="list" allowBlank="1" showInputMessage="1" showErrorMessage="1" sqref="E20:E50">
      <x:formula1>"-,早餐前,午饭前,晚饭前,其他"</x:formula1>
    </x:dataValidation>
  </x:dataValidations>
  <x:pageMargins left="0.7" right="0.7" top="0.75" bottom="0.75" header="0.3" footer="0.3"/>
  <x:legacyDrawing xmlns:r="http://schemas.openxmlformats.org/officeDocument/2006/relationships" r:id="R212d8c6f87aa4122"/>
</x:worksheet>
</file>

<file path=xl/worksheets/sheet2.xml><?xml version="1.0" encoding="utf-8"?>
<x:worksheet xmlns:x="http://schemas.openxmlformats.org/spreadsheetml/2006/main">
  <x:sheetPr>
    <x:tabColor rgb="FF5B3F7A"/>
  </x:sheetPr>
  <x:sheetViews>
    <x:sheetView showGridLines="0" workbookViewId="0"/>
  </x:sheetViews>
  <x:sheetFormatPr defaultColWidth="9" defaultRowHeight="13.5"/>
  <x:cols>
    <x:col min="1" max="1" width="16" customWidth="1"/>
    <x:col min="2" max="3" width="14" customWidth="1"/>
    <x:col min="4" max="4" width="16" customWidth="1"/>
    <x:col min="5" max="5" width="28" customWidth="1"/>
  </x:cols>
  <x:sheetData>
    <x:row r="1" ht="34" customHeight="1">
      <x:c r="A1" s="55" t="s">
        <x:v>60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</x:row>
    <x:row r="3" ht="22" customHeight="1">
      <x:c r="A3" s="57" t="s">
        <x:v>61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</x:row>
    <x:row r="4" ht="13.850000381469727">
      <x:c r="A4" s="17" t="s">
        <x:v>62</x:v>
      </x:c>
      <x:c r="B4" s="98" t="e">
        <x:f>V6周期计划!$B$9</x:f>
        <x:v>#NAME?</x:v>
      </x:c>
      <x:c r="C4" s="17" t="s">
        <x:v>63</x:v>
      </x:c>
      <x:c r="D4" s="98" t="e">
        <x:f>COUNTIFS(V6周期计划!$A$20:$A$50,"&lt;="&amp;V6周期计划!$B$9,V6周期计划!$D$20:$D$50,"是")</x:f>
        <x:v>#NAME?</x:v>
      </x:c>
      <x:c r="E4" s="17" t="s">
        <x:v>64</x:v>
      </x:c>
      <x:c r="F4" s="98" t="e">
        <x:f>COUNTIFS(V6周期计划!$A$20:$A$50,"&lt;="&amp;V6周期计划!$B$9,V6周期计划!$D$20:$D$50,"否")</x:f>
        <x:v>#NAME?</x:v>
      </x:c>
    </x:row>
    <x:row r="6" ht="28" customHeight="1">
      <x:c r="A6" s="20" t="s">
        <x:v>65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</x:row>
    <x:row r="7" ht="28" customHeight="1">
      <x:c r="A7" s="20" t="s">
        <x:v>66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</x:row>
    <x:row r="8" ht="28" customHeight="1">
      <x:c r="A8" s="20" t="s">
        <x:v>67</x:v>
      </x:c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13" ht="22" customHeight="1">
      <x:c r="A13" s="23" t="s">
        <x:v>68</x:v>
      </x:c>
    </x:row>
    <x:row r="14">
      <x:c r="A14" s="28" t="s">
        <x:v>69</x:v>
      </x:c>
      <x:c r="B14" s="28" t="s">
        <x:v>70</x:v>
      </x:c>
      <x:c r="C14" s="28" t="s">
        <x:v>71</x:v>
      </x:c>
      <x:c r="D14" s="28" t="s">
        <x:v>72</x:v>
      </x:c>
      <x:c r="E14" s="28" t="s">
        <x:v>73</x:v>
      </x:c>
    </x:row>
    <x:row r="15">
      <x:c r="A15" s="32" t="s">
        <x:v>74</x:v>
      </x:c>
      <x:c r="B15" s="99">
        <x:v>0.25</x:v>
      </x:c>
      <x:c r="C15" s="99">
        <x:v>0.2</x:v>
      </x:c>
      <x:c r="D15" s="99">
        <x:v>0.2</x:v>
      </x:c>
      <x:c r="E15" s="32" t="s">
        <x:v>75</x:v>
      </x:c>
    </x:row>
    <x:row r="16">
      <x:c r="A16" s="32" t="s">
        <x:v>76</x:v>
      </x:c>
      <x:c r="B16" s="99">
        <x:v>0.25</x:v>
      </x:c>
      <x:c r="C16" s="99">
        <x:v>0.4</x:v>
      </x:c>
      <x:c r="D16" s="99">
        <x:v>0.4</x:v>
      </x:c>
      <x:c r="E16" s="32" t="s">
        <x:v>77</x:v>
      </x:c>
    </x:row>
    <x:row r="17" ht="27">
      <x:c r="A17" s="32" t="s">
        <x:v>78</x:v>
      </x:c>
      <x:c r="B17" s="99">
        <x:v>0.1</x:v>
      </x:c>
      <x:c r="C17" s="99">
        <x:v>0</x:v>
      </x:c>
      <x:c r="D17" s="99">
        <x:v>0</x:v>
      </x:c>
      <x:c r="E17" s="32" t="s">
        <x:v>79</x:v>
      </x:c>
    </x:row>
    <x:row r="18" ht="27">
      <x:c r="A18" s="32" t="s">
        <x:v>80</x:v>
      </x:c>
      <x:c r="B18" s="99">
        <x:v>0.4</x:v>
      </x:c>
      <x:c r="C18" s="99">
        <x:v>0.4</x:v>
      </x:c>
      <x:c r="D18" s="99">
        <x:v>0.4</x:v>
      </x:c>
      <x:c r="E18" s="32" t="s">
        <x:v>81</x:v>
      </x:c>
    </x:row>
    <x:row r="19">
      <x:c r="A19" s="30" t="s">
        <x:v>82</x:v>
      </x:c>
      <x:c r="B19" s="31" t="n">
        <x:f>SUM(B15:B18)</x:f>
        <x:v>1</x:v>
      </x:c>
      <x:c r="C19" s="31" t="n">
        <x:f>SUM(C15:C18)</x:f>
        <x:v>1</x:v>
      </x:c>
      <x:c r="D19" s="31" t="n">
        <x:f>SUM(D15:D18)</x:f>
        <x:v>1</x:v>
      </x:c>
    </x:row>
    <x:row r="21" ht="22" customHeight="1">
      <x:c r="A21" s="23" t="s">
        <x:v>83</x:v>
      </x:c>
    </x:row>
    <x:row r="22">
      <x:c r="A22" s="28" t="s">
        <x:v>69</x:v>
      </x:c>
      <x:c r="B22" s="28" t="s">
        <x:v>70</x:v>
      </x:c>
      <x:c r="C22" s="28" t="s">
        <x:v>71</x:v>
      </x:c>
      <x:c r="D22" s="28" t="s">
        <x:v>72</x:v>
      </x:c>
      <x:c r="E22" s="28" t="s">
        <x:v>73</x:v>
      </x:c>
    </x:row>
    <x:row r="23">
      <x:c r="A23" s="32" t="s">
        <x:v>74</x:v>
      </x:c>
      <x:c r="B23" s="99">
        <x:v>0.3</x:v>
      </x:c>
      <x:c r="C23" s="99">
        <x:v>0.3</x:v>
      </x:c>
      <x:c r="D23" s="99">
        <x:v>0.3</x:v>
      </x:c>
      <x:c r="E23" s="32" t="s">
        <x:v>84</x:v>
      </x:c>
    </x:row>
    <x:row r="24">
      <x:c r="A24" s="32" t="s">
        <x:v>76</x:v>
      </x:c>
      <x:c r="B24" s="99">
        <x:v>0.4</x:v>
      </x:c>
      <x:c r="C24" s="99">
        <x:v>0.4</x:v>
      </x:c>
      <x:c r="D24" s="99">
        <x:v>0.4</x:v>
      </x:c>
      <x:c r="E24" s="32" t="s">
        <x:v>85</x:v>
      </x:c>
    </x:row>
    <x:row r="25">
      <x:c r="A25" s="32" t="s">
        <x:v>78</x:v>
      </x:c>
      <x:c r="B25" s="99">
        <x:v>0</x:v>
      </x:c>
      <x:c r="C25" s="99">
        <x:v>0</x:v>
      </x:c>
      <x:c r="D25" s="99">
        <x:v>0</x:v>
      </x:c>
      <x:c r="E25" s="32" t="s">
        <x:v>86</x:v>
      </x:c>
    </x:row>
    <x:row r="26">
      <x:c r="A26" s="32" t="s">
        <x:v>87</x:v>
      </x:c>
      <x:c r="B26" s="99">
        <x:v>0.3</x:v>
      </x:c>
      <x:c r="C26" s="99">
        <x:v>0.3</x:v>
      </x:c>
      <x:c r="D26" s="99">
        <x:v>0.3</x:v>
      </x:c>
      <x:c r="E26" s="32" t="s">
        <x:v>84</x:v>
      </x:c>
    </x:row>
    <x:row r="27">
      <x:c r="A27" s="30" t="s">
        <x:v>82</x:v>
      </x:c>
      <x:c r="B27" s="31" t="n">
        <x:f>SUM(B23:B26)</x:f>
        <x:v>1</x:v>
      </x:c>
      <x:c r="C27" s="31" t="n">
        <x:f>SUM(C23:C26)</x:f>
        <x:v>1</x:v>
      </x:c>
      <x:c r="D27" s="31" t="n">
        <x:f>SUM(D23:D26)</x:f>
        <x:v>1</x:v>
      </x:c>
    </x:row>
    <x:row r="29" ht="22" customHeight="1">
      <x:c r="A29" s="100" t="s">
        <x:v>88</x:v>
      </x:c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</x:row>
    <x:row r="30" ht="32" customHeight="1">
      <x:c r="A30" s="101" t="s">
        <x:v>89</x:v>
      </x:c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</x:row>
    <x:row r="31" ht="32" customHeight="1">
      <x:c r="A31" s="101" t="s">
        <x:v>90</x:v>
      </x:c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</x:row>
    <x:row r="32" ht="32" customHeight="1">
      <x:c r="A32" s="101" t="s">
        <x:v>91</x:v>
      </x:c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</x:row>
    <x:row r="33" ht="32" customHeight="1">
      <x:c r="A33" s="101" t="s">
        <x:v>92</x:v>
      </x:c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</x:row>
    <x:row r="34" ht="32" customHeight="1">
      <x:c r="A34" s="101" t="s">
        <x:v>93</x:v>
      </x:c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</x:row>
  </x:sheetData>
  <x:mergeCells>
    <x:mergeCell ref="A1:L1"/>
    <x:mergeCell ref="A3:L3"/>
    <x:mergeCell ref="A6:L6"/>
    <x:mergeCell ref="A7:L7"/>
    <x:mergeCell ref="A8:L8"/>
    <x:mergeCell ref="A13:L13"/>
    <x:mergeCell ref="A21:L21"/>
    <x:mergeCell ref="A29:L29"/>
    <x:mergeCell ref="A30:L30"/>
    <x:mergeCell ref="A31:L31"/>
    <x:mergeCell ref="A32:L32"/>
    <x:mergeCell ref="A33:L33"/>
    <x:mergeCell ref="A34:L3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69E00"/>
  </x:sheetPr>
  <x:sheetViews>
    <x:sheetView showGridLines="0" workbookViewId="0"/>
  </x:sheetViews>
  <x:sheetFormatPr defaultColWidth="9" defaultRowHeight="13.5"/>
  <x:cols>
    <x:col min="1" max="1" width="12.637167930603027" customWidth="1"/>
    <x:col min="2" max="5" width="9.637167930603027" customWidth="1"/>
    <x:col min="6" max="6" width="16.637168884277344" customWidth="1"/>
    <x:col min="7" max="7" width="10.637167930603027" customWidth="1"/>
    <x:col min="8" max="8" width="11.637167930603027" customWidth="1"/>
    <x:col min="9" max="9" width="16.637168884277344" customWidth="1"/>
    <x:col min="10" max="10" width="10.637167930603027" customWidth="1"/>
    <x:col min="11" max="11" width="11.637167930603027" customWidth="1"/>
    <x:col min="12" max="12" width="14.637167930603027" customWidth="1"/>
    <x:col min="13" max="13" width="11.637167930603027" customWidth="1"/>
    <x:col min="14" max="14" width="14.637167930603027" customWidth="1"/>
    <x:col min="15" max="18" width="11.637167930603027" customWidth="1"/>
    <x:col min="19" max="19" width="12.637167930603027" customWidth="1"/>
    <x:col min="20" max="20" width="11.637167930603027" customWidth="1"/>
    <x:col min="21" max="21" width="11" hidden="1" customWidth="1"/>
    <x:col min="22" max="23" width="13" hidden="1" customWidth="1"/>
    <x:col min="24" max="25" width="11" hidden="1" customWidth="1"/>
    <x:col min="26" max="26" width="13" hidden="1" customWidth="1"/>
    <x:col min="27" max="45" width="9" hidden="1" customWidth="1"/>
  </x:cols>
  <x:sheetData>
    <x:row r="1" ht="32" customHeight="1">
      <x:c r="A1" s="55" t="s">
        <x:v>94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64"/>
      <x:c r="V1" s="64"/>
      <x:c r="W1" s="64"/>
      <x:c r="X1" s="64"/>
      <x:c r="Y1" s="64"/>
      <x:c r="Z1" s="64"/>
      <x:c r="AA1" s="64"/>
      <x:c r="AB1" s="64"/>
      <x:c r="AC1" s="64"/>
      <x:c r="AD1" s="64"/>
      <x:c r="AE1" s="64"/>
      <x:c r="AF1" s="64"/>
      <x:c r="AG1" s="64"/>
      <x:c r="AH1" s="64"/>
      <x:c r="AI1" s="64"/>
      <x:c r="AJ1" s="64"/>
      <x:c r="AK1" s="64"/>
      <x:c r="AL1" s="64"/>
      <x:c r="AM1" s="64"/>
      <x:c r="AN1" s="64"/>
      <x:c r="AO1" s="64"/>
      <x:c r="AP1" s="64"/>
      <x:c r="AQ1" s="64"/>
      <x:c r="AR1" s="64"/>
      <x:c r="AS1" s="64"/>
    </x:row>
    <x:row r="2" ht="13.850000381469727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64"/>
      <x:c r="V2" s="64"/>
      <x:c r="W2" s="64"/>
      <x:c r="X2" s="64"/>
      <x:c r="Y2" s="64"/>
      <x:c r="Z2" s="64"/>
      <x:c r="AA2" s="64"/>
      <x:c r="AB2" s="64"/>
      <x:c r="AC2" s="64"/>
      <x:c r="AD2" s="64"/>
      <x:c r="AE2" s="64"/>
      <x:c r="AF2" s="64"/>
      <x:c r="AG2" s="64"/>
      <x:c r="AH2" s="64"/>
      <x:c r="AI2" s="64"/>
      <x:c r="AJ2" s="64"/>
      <x:c r="AK2" s="64"/>
      <x:c r="AL2" s="64"/>
      <x:c r="AM2" s="64"/>
      <x:c r="AN2" s="64"/>
      <x:c r="AO2" s="64"/>
      <x:c r="AP2" s="64"/>
      <x:c r="AQ2" s="64"/>
      <x:c r="AR2" s="64"/>
      <x:c r="AS2" s="64"/>
    </x:row>
    <x:row r="3" ht="22" customHeight="1">
      <x:c r="A3" s="57" t="s">
        <x:v>95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64"/>
      <x:c r="V3" s="64"/>
      <x:c r="W3" s="64"/>
      <x:c r="X3" s="64"/>
      <x:c r="Y3" s="64"/>
      <x:c r="Z3" s="64"/>
      <x:c r="AA3" s="64"/>
      <x:c r="AB3" s="64"/>
      <x:c r="AC3" s="64"/>
      <x:c r="AD3" s="64"/>
      <x:c r="AE3" s="64"/>
      <x:c r="AF3" s="64"/>
      <x:c r="AG3" s="64"/>
      <x:c r="AH3" s="64"/>
      <x:c r="AI3" s="64"/>
      <x:c r="AJ3" s="64"/>
      <x:c r="AK3" s="64"/>
      <x:c r="AL3" s="64"/>
      <x:c r="AM3" s="64"/>
      <x:c r="AN3" s="64"/>
      <x:c r="AO3" s="64"/>
      <x:c r="AP3" s="64"/>
      <x:c r="AQ3" s="64"/>
      <x:c r="AR3" s="64"/>
      <x:c r="AS3" s="64"/>
    </x:row>
    <x:row r="4" ht="27.75">
      <x:c r="A4" s="58" t="s">
        <x:v>96</x:v>
      </x:c>
      <x:c r="B4" s="65">
        <x:v>1</x:v>
      </x:c>
      <x:c r="C4" s="58"/>
      <x:c r="D4" s="58" t="s">
        <x:v>44</x:v>
      </x:c>
      <x:c r="E4" s="66" t="e">
        <x:f>IFERROR(VLOOKUP(B4,V6周期计划!$A$20:$M$50,4,FALSE),"")</x:f>
        <x:v>#NAME?</x:v>
      </x:c>
      <x:c r="F4" s="58"/>
      <x:c r="G4" s="58" t="s">
        <x:v>43</x:v>
      </x:c>
      <x:c r="H4" s="66" t="e">
        <x:f>IFERROR(VLOOKUP(B4,V6周期计划!$A$20:$M$50,3,FALSE),"")</x:f>
        <x:v>#NAME?</x:v>
      </x:c>
      <x:c r="I4" s="58"/>
      <x:c r="J4" s="58" t="s">
        <x:v>97</x:v>
      </x:c>
      <x:c r="K4" s="59" t="e">
        <x:f>IF(B4&gt;CycleLength,"",IFERROR(VLOOKUP(B4,V6周期计划!$A$20:$M$50,7,FALSE),""))</x:f>
        <x:v>#NAME?</x:v>
      </x:c>
      <x:c r="L4" s="67"/>
      <x:c r="M4" s="67" t="s">
        <x:v>98</x:v>
      </x:c>
      <x:c r="N4" s="59" t="e">
        <x:f>IF(B4&gt;CycleLength,"",IFERROR(VLOOKUP(B4,V6周期计划!$A$20:$M$50,8,FALSE),""))</x:f>
        <x:v>#NAME?</x:v>
      </x:c>
      <x:c r="O4" s="58"/>
      <x:c r="P4" s="58" t="s">
        <x:v>99</x:v>
      </x:c>
      <x:c r="Q4" s="59" t="e">
        <x:f>IF(B4&gt;CycleLength,"",IFERROR(VLOOKUP(B4,V6周期计划!$A$20:$M$50,9,FALSE),""))</x:f>
        <x:v>#NAME?</x:v>
      </x:c>
      <x:c r="R4" s="58"/>
      <x:c r="S4" s="58" t="s">
        <x:v>100</x:v>
      </x:c>
      <x:c r="T4" s="68" t="e">
        <x:f>IF(B4&gt;CycleLength,"",IFERROR(VLOOKUP(B4,V6周期计划!$A$20:$M$50,10,FALSE),""))</x:f>
        <x:v>#NAME?</x:v>
      </x:c>
      <x:c r="U4" s="64"/>
      <x:c r="V4" s="64"/>
      <x:c r="W4" s="64"/>
      <x:c r="X4" s="64"/>
      <x:c r="Y4" s="64"/>
      <x:c r="Z4" s="64"/>
      <x:c r="AA4" s="64"/>
      <x:c r="AB4" s="64"/>
      <x:c r="AC4" s="64"/>
      <x:c r="AD4" s="64"/>
      <x:c r="AE4" s="64"/>
      <x:c r="AF4" s="64"/>
      <x:c r="AG4" s="64"/>
      <x:c r="AH4" s="64"/>
      <x:c r="AI4" s="64"/>
      <x:c r="AJ4" s="64"/>
      <x:c r="AK4" s="64"/>
      <x:c r="AL4" s="64"/>
      <x:c r="AM4" s="64"/>
      <x:c r="AN4" s="64"/>
      <x:c r="AO4" s="64"/>
      <x:c r="AP4" s="64"/>
      <x:c r="AQ4" s="64"/>
      <x:c r="AR4" s="64"/>
      <x:c r="AS4" s="64"/>
    </x:row>
    <x:row r="5" ht="13.899999618530273">
      <x:c r="A5" s="58" t="s">
        <x:v>36</x:v>
      </x:c>
      <x:c r="B5" s="66" t="e">
        <x:f>CycleLength</x:f>
        <x:v>#NAME?</x:v>
      </x:c>
      <x:c r="C5" s="58"/>
      <x:c r="D5" s="58" t="s">
        <x:v>45</x:v>
      </x:c>
      <x:c r="E5" s="66" t="e">
        <x:f>IFERROR(VLOOKUP(B4,V6周期计划!$A$20:$M$50,5,FALSE),"")</x:f>
        <x:v>#NAME?</x:v>
      </x:c>
      <x:c r="F5" s="58"/>
      <x:c r="G5" s="58" t="s">
        <x:v>46</x:v>
      </x:c>
      <x:c r="H5" s="66" t="e">
        <x:f>IFERROR(VLOOKUP(B4,V6周期计划!$A$20:$M$50,6,FALSE),"")</x:f>
        <x:v>#NAME?</x:v>
      </x:c>
      <x:c r="I5" s="58"/>
      <x:c r="J5" s="58" t="s">
        <x:v>101</x:v>
      </x:c>
      <x:c r="K5" s="66" t="e">
        <x:f>IF(B4&gt;CycleLength,"未启用",IFERROR(VLOOKUP(B4,V6周期计划!$A$20:$M$50,13,FALSE),"请检查"))</x:f>
        <x:v>#NAME?</x:v>
      </x:c>
      <x:c r="L5" s="58"/>
      <x:c r="M5" s="58" t="s">
        <x:v>102</x:v>
      </x:c>
      <x:c r="N5" s="66" t="e">
        <x:f>IF(B4&lt;=CycleLength,"已启用；修改B4查看其他循环日","超出当前循环长度")</x:f>
        <x:v>#NAME?</x:v>
      </x:c>
      <x:c r="O5" s="58"/>
      <x:c r="P5" s="58"/>
      <x:c r="Q5" s="58"/>
      <x:c r="R5" s="58"/>
      <x:c r="S5" s="58"/>
      <x:c r="T5" s="58"/>
      <x:c r="U5" s="64"/>
      <x:c r="V5" s="64"/>
      <x:c r="W5" s="64"/>
      <x:c r="X5" s="64"/>
      <x:c r="Y5" s="64"/>
      <x:c r="Z5" s="64"/>
      <x:c r="AA5" s="64"/>
      <x:c r="AB5" s="64"/>
      <x:c r="AC5" s="64"/>
      <x:c r="AD5" s="64"/>
      <x:c r="AE5" s="64"/>
      <x:c r="AF5" s="64"/>
      <x:c r="AG5" s="64"/>
      <x:c r="AH5" s="64"/>
      <x:c r="AI5" s="64"/>
      <x:c r="AJ5" s="64"/>
      <x:c r="AK5" s="64"/>
      <x:c r="AL5" s="64"/>
      <x:c r="AM5" s="64"/>
      <x:c r="AN5" s="64"/>
      <x:c r="AO5" s="64"/>
      <x:c r="AP5" s="64"/>
      <x:c r="AQ5" s="64"/>
      <x:c r="AR5" s="64"/>
      <x:c r="AS5" s="64"/>
    </x:row>
    <x:row r="6" ht="22" customHeight="1">
      <x:c r="A6" s="57" t="s">
        <x:v>103</x:v>
      </x:c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64"/>
      <x:c r="V6" s="64"/>
      <x:c r="W6" s="64"/>
      <x:c r="X6" s="64"/>
      <x:c r="Y6" s="64"/>
      <x:c r="Z6" s="64"/>
      <x:c r="AA6" s="64"/>
      <x:c r="AB6" s="64"/>
      <x:c r="AC6" s="64"/>
      <x:c r="AD6" s="64"/>
      <x:c r="AE6" s="64"/>
      <x:c r="AF6" s="64"/>
      <x:c r="AG6" s="64"/>
      <x:c r="AH6" s="64"/>
      <x:c r="AI6" s="64"/>
      <x:c r="AJ6" s="64"/>
      <x:c r="AK6" s="64"/>
      <x:c r="AL6" s="64"/>
      <x:c r="AM6" s="64"/>
      <x:c r="AN6" s="64"/>
      <x:c r="AO6" s="64"/>
      <x:c r="AP6" s="64"/>
      <x:c r="AQ6" s="64"/>
      <x:c r="AR6" s="64"/>
      <x:c r="AS6" s="64"/>
    </x:row>
    <x:row r="7" ht="28" customHeight="1">
      <x:c r="A7" s="16" t="s">
        <x:v>69</x:v>
      </x:c>
      <x:c r="B7" s="16" t="s">
        <x:v>70</x:v>
      </x:c>
      <x:c r="C7" s="16" t="s">
        <x:v>71</x:v>
      </x:c>
      <x:c r="D7" s="16" t="s">
        <x:v>72</x:v>
      </x:c>
      <x:c r="E7" s="16" t="s">
        <x:v>104</x:v>
      </x:c>
      <x:c r="F7" s="56"/>
      <x:c r="G7" s="56"/>
      <x:c r="H7" s="56"/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64"/>
      <x:c r="V7" s="64"/>
      <x:c r="W7" s="64"/>
      <x:c r="X7" s="64"/>
      <x:c r="Y7" s="64"/>
      <x:c r="Z7" s="64"/>
      <x:c r="AA7" s="64"/>
      <x:c r="AB7" s="64"/>
      <x:c r="AC7" s="64"/>
      <x:c r="AD7" s="64"/>
      <x:c r="AE7" s="64"/>
      <x:c r="AF7" s="64"/>
      <x:c r="AG7" s="64"/>
      <x:c r="AH7" s="64"/>
      <x:c r="AI7" s="64"/>
      <x:c r="AJ7" s="64"/>
      <x:c r="AK7" s="64"/>
      <x:c r="AL7" s="64"/>
      <x:c r="AM7" s="64"/>
      <x:c r="AN7" s="64"/>
      <x:c r="AO7" s="64"/>
      <x:c r="AP7" s="64"/>
      <x:c r="AQ7" s="64"/>
      <x:c r="AR7" s="64"/>
      <x:c r="AS7" s="64"/>
    </x:row>
    <x:row r="8" ht="13.899999618530273">
      <x:c r="A8" s="58" t="s">
        <x:v>74</x:v>
      </x:c>
      <x:c r="B8" s="69" t="e">
        <x:f>IF($E$4="是",V6设置!B15,V6设置!B23)</x:f>
        <x:v>#NAME?</x:v>
      </x:c>
      <x:c r="C8" s="69" t="e">
        <x:f>IF($E$4="是",V6设置!C15,V6设置!C23)</x:f>
        <x:v>#NAME?</x:v>
      </x:c>
      <x:c r="D8" s="69" t="e">
        <x:f>IF($E$4="是",V6设置!D15,V6设置!D23)</x:f>
        <x:v>#NAME?</x:v>
      </x:c>
      <x:c r="E8" s="66" t="e">
        <x:f>IF(AND($E$4="否",A8="练前餐"),"休息日不安排",IF(A8="练前餐","纯碳水","执行"))</x:f>
        <x:v>#NAME?</x:v>
      </x:c>
      <x:c r="F8" s="56"/>
      <x:c r="G8" s="56"/>
      <x:c r="H8" s="56"/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64"/>
      <x:c r="V8" s="64"/>
      <x:c r="W8" s="64"/>
      <x:c r="X8" s="64"/>
      <x:c r="Y8" s="64"/>
      <x:c r="Z8" s="64"/>
      <x:c r="AA8" s="64"/>
      <x:c r="AB8" s="64"/>
      <x:c r="AC8" s="64"/>
      <x:c r="AD8" s="64"/>
      <x:c r="AE8" s="64"/>
      <x:c r="AF8" s="64"/>
      <x:c r="AG8" s="64"/>
      <x:c r="AH8" s="64"/>
      <x:c r="AI8" s="64"/>
      <x:c r="AJ8" s="64"/>
      <x:c r="AK8" s="64"/>
      <x:c r="AL8" s="64"/>
      <x:c r="AM8" s="64"/>
      <x:c r="AN8" s="64"/>
      <x:c r="AO8" s="64"/>
      <x:c r="AP8" s="64"/>
      <x:c r="AQ8" s="64"/>
      <x:c r="AR8" s="64"/>
      <x:c r="AS8" s="64"/>
    </x:row>
    <x:row r="9" ht="13.899999618530273">
      <x:c r="A9" s="58" t="s">
        <x:v>76</x:v>
      </x:c>
      <x:c r="B9" s="69" t="e">
        <x:f>IF($E$4="是",V6设置!B16,V6设置!B24)</x:f>
        <x:v>#NAME?</x:v>
      </x:c>
      <x:c r="C9" s="69" t="e">
        <x:f>IF($E$4="是",V6设置!C16,V6设置!C24)</x:f>
        <x:v>#NAME?</x:v>
      </x:c>
      <x:c r="D9" s="69" t="e">
        <x:f>IF($E$4="是",V6设置!D16,V6设置!D24)</x:f>
        <x:v>#NAME?</x:v>
      </x:c>
      <x:c r="E9" s="66" t="e">
        <x:f>IF(AND($E$4="否",A9="练前餐"),"休息日不安排",IF(A9="练前餐","纯碳水","执行"))</x:f>
        <x:v>#NAME?</x:v>
      </x:c>
      <x:c r="F9" s="56"/>
      <x:c r="G9" s="56"/>
      <x:c r="H9" s="56"/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64"/>
      <x:c r="V9" s="64"/>
      <x:c r="W9" s="64"/>
      <x:c r="X9" s="64"/>
      <x:c r="Y9" s="64"/>
      <x:c r="Z9" s="64"/>
      <x:c r="AA9" s="64"/>
      <x:c r="AB9" s="64"/>
      <x:c r="AC9" s="64"/>
      <x:c r="AD9" s="64"/>
      <x:c r="AE9" s="64"/>
      <x:c r="AF9" s="64"/>
      <x:c r="AG9" s="64"/>
      <x:c r="AH9" s="64"/>
      <x:c r="AI9" s="64"/>
      <x:c r="AJ9" s="64"/>
      <x:c r="AK9" s="64"/>
      <x:c r="AL9" s="64"/>
      <x:c r="AM9" s="64"/>
      <x:c r="AN9" s="64"/>
      <x:c r="AO9" s="64"/>
      <x:c r="AP9" s="64"/>
      <x:c r="AQ9" s="64"/>
      <x:c r="AR9" s="64"/>
      <x:c r="AS9" s="64"/>
    </x:row>
    <x:row r="10" ht="13.899999618530273">
      <x:c r="A10" s="58" t="s">
        <x:v>78</x:v>
      </x:c>
      <x:c r="B10" s="69" t="e">
        <x:f>IF($E$4="是",V6设置!B17,V6设置!B25)</x:f>
        <x:v>#NAME?</x:v>
      </x:c>
      <x:c r="C10" s="69" t="e">
        <x:f>IF($E$4="是",V6设置!C17,V6设置!C25)</x:f>
        <x:v>#NAME?</x:v>
      </x:c>
      <x:c r="D10" s="69" t="e">
        <x:f>IF($E$4="是",V6设置!D17,V6设置!D25)</x:f>
        <x:v>#NAME?</x:v>
      </x:c>
      <x:c r="E10" s="66" t="e">
        <x:f>IF(AND($E$4="否",A10="练前餐"),"休息日不安排",IF(A10="练前餐","纯碳水","执行"))</x:f>
        <x:v>#NAME?</x:v>
      </x:c>
      <x:c r="F10" s="56"/>
      <x:c r="G10" s="56"/>
      <x:c r="H10" s="56"/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64"/>
      <x:c r="V10" s="64"/>
      <x:c r="W10" s="64"/>
      <x:c r="X10" s="64"/>
      <x:c r="Y10" s="64"/>
      <x:c r="Z10" s="64"/>
      <x:c r="AA10" s="64"/>
      <x:c r="AB10" s="64"/>
      <x:c r="AC10" s="64"/>
      <x:c r="AD10" s="64"/>
      <x:c r="AE10" s="64"/>
      <x:c r="AF10" s="64"/>
      <x:c r="AG10" s="64"/>
      <x:c r="AH10" s="64"/>
      <x:c r="AI10" s="64"/>
      <x:c r="AJ10" s="64"/>
      <x:c r="AK10" s="64"/>
      <x:c r="AL10" s="64"/>
      <x:c r="AM10" s="64"/>
      <x:c r="AN10" s="64"/>
      <x:c r="AO10" s="64"/>
      <x:c r="AP10" s="64"/>
      <x:c r="AQ10" s="64"/>
      <x:c r="AR10" s="64"/>
      <x:c r="AS10" s="64"/>
    </x:row>
    <x:row r="11" ht="13.899999618530273">
      <x:c r="A11" s="58" t="s">
        <x:v>80</x:v>
      </x:c>
      <x:c r="B11" s="69" t="e">
        <x:f>IF($E$4="是",V6设置!B18,V6设置!B26)</x:f>
        <x:v>#NAME?</x:v>
      </x:c>
      <x:c r="C11" s="69" t="e">
        <x:f>IF($E$4="是",V6设置!C18,V6设置!C26)</x:f>
        <x:v>#NAME?</x:v>
      </x:c>
      <x:c r="D11" s="69" t="e">
        <x:f>IF($E$4="是",V6设置!D18,V6设置!D26)</x:f>
        <x:v>#NAME?</x:v>
      </x:c>
      <x:c r="E11" s="66" t="e">
        <x:f>IF(AND($E$4="否",A11="练前餐"),"休息日不安排",IF(A11="练前餐","纯碳水","执行"))</x:f>
        <x:v>#NAME?</x:v>
      </x:c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64"/>
      <x:c r="V11" s="64"/>
      <x:c r="W11" s="64"/>
      <x:c r="X11" s="64"/>
      <x:c r="Y11" s="64"/>
      <x:c r="Z11" s="64"/>
      <x:c r="AA11" s="64"/>
      <x:c r="AB11" s="64"/>
      <x:c r="AC11" s="64"/>
      <x:c r="AD11" s="64"/>
      <x:c r="AE11" s="64"/>
      <x:c r="AF11" s="64"/>
      <x:c r="AG11" s="64"/>
      <x:c r="AH11" s="64"/>
      <x:c r="AI11" s="64"/>
      <x:c r="AJ11" s="64"/>
      <x:c r="AK11" s="64"/>
      <x:c r="AL11" s="64"/>
      <x:c r="AM11" s="64"/>
      <x:c r="AN11" s="64"/>
      <x:c r="AO11" s="64"/>
      <x:c r="AP11" s="64"/>
      <x:c r="AQ11" s="64"/>
      <x:c r="AR11" s="64"/>
      <x:c r="AS11" s="64"/>
    </x:row>
    <x:row r="12" ht="13.850000381469727">
      <x:c r="A12" s="56"/>
      <x:c r="B12" s="56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64"/>
      <x:c r="V12" s="64"/>
      <x:c r="W12" s="64"/>
      <x:c r="X12" s="64"/>
      <x:c r="Y12" s="64"/>
      <x:c r="Z12" s="64"/>
      <x:c r="AA12" s="64"/>
      <x:c r="AB12" s="64"/>
      <x:c r="AC12" s="64"/>
      <x:c r="AD12" s="64"/>
      <x:c r="AE12" s="64"/>
      <x:c r="AF12" s="64"/>
      <x:c r="AG12" s="64"/>
      <x:c r="AH12" s="64"/>
      <x:c r="AI12" s="64"/>
      <x:c r="AJ12" s="64"/>
      <x:c r="AK12" s="64"/>
      <x:c r="AL12" s="64"/>
      <x:c r="AM12" s="64"/>
      <x:c r="AN12" s="64"/>
      <x:c r="AO12" s="64"/>
      <x:c r="AP12" s="64"/>
      <x:c r="AQ12" s="64"/>
      <x:c r="AR12" s="64"/>
      <x:c r="AS12" s="64"/>
    </x:row>
    <x:row r="13" ht="24" customHeight="1">
      <x:c r="A13" s="70" t="s">
        <x:v>105</x:v>
      </x:c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  <x:c r="R13" s="70"/>
      <x:c r="S13" s="70"/>
      <x:c r="T13" s="70"/>
      <x:c r="U13" s="64"/>
      <x:c r="V13" s="64"/>
      <x:c r="W13" s="64"/>
      <x:c r="X13" s="64"/>
      <x:c r="Y13" s="64"/>
      <x:c r="Z13" s="64"/>
      <x:c r="AA13" s="64"/>
      <x:c r="AB13" s="64"/>
      <x:c r="AC13" s="64"/>
      <x:c r="AD13" s="64"/>
      <x:c r="AE13" s="64"/>
      <x:c r="AF13" s="64"/>
      <x:c r="AG13" s="64"/>
      <x:c r="AH13" s="64"/>
      <x:c r="AI13" s="64"/>
      <x:c r="AJ13" s="64"/>
      <x:c r="AK13" s="64"/>
      <x:c r="AL13" s="64"/>
      <x:c r="AM13" s="64"/>
      <x:c r="AN13" s="64"/>
      <x:c r="AO13" s="64"/>
      <x:c r="AP13" s="64"/>
      <x:c r="AQ13" s="64"/>
      <x:c r="AR13" s="64"/>
      <x:c r="AS13" s="64"/>
    </x:row>
    <x:row r="14" ht="32" customHeight="1">
      <x:c r="A14" s="71" t="s">
        <x:v>69</x:v>
      </x:c>
      <x:c r="B14" s="71" t="s">
        <x:v>106</x:v>
      </x:c>
      <x:c r="C14" s="71" t="s">
        <x:v>107</x:v>
      </x:c>
      <x:c r="D14" s="71" t="s">
        <x:v>108</x:v>
      </x:c>
      <x:c r="E14" s="71" t="s">
        <x:v>109</x:v>
      </x:c>
      <x:c r="F14" s="71" t="s">
        <x:v>110</x:v>
      </x:c>
      <x:c r="G14" s="71" t="s">
        <x:v>111</x:v>
      </x:c>
      <x:c r="H14" s="71" t="s">
        <x:v>112</x:v>
      </x:c>
      <x:c r="I14" s="71" t="s">
        <x:v>113</x:v>
      </x:c>
      <x:c r="J14" s="71" t="s">
        <x:v>114</x:v>
      </x:c>
      <x:c r="K14" s="71" t="s">
        <x:v>115</x:v>
      </x:c>
      <x:c r="L14" s="71" t="s">
        <x:v>116</x:v>
      </x:c>
      <x:c r="M14" s="71" t="s">
        <x:v>117</x:v>
      </x:c>
      <x:c r="N14" s="71" t="s">
        <x:v>118</x:v>
      </x:c>
      <x:c r="O14" s="71" t="s">
        <x:v>119</x:v>
      </x:c>
      <x:c r="P14" s="71" t="s">
        <x:v>120</x:v>
      </x:c>
      <x:c r="Q14" s="71" t="s">
        <x:v>121</x:v>
      </x:c>
      <x:c r="R14" s="71" t="s">
        <x:v>122</x:v>
      </x:c>
      <x:c r="S14" s="71" t="s">
        <x:v>123</x:v>
      </x:c>
      <x:c r="T14" s="71" t="s">
        <x:v>124</x:v>
      </x:c>
      <x:c r="U14" s="64"/>
      <x:c r="V14" s="64"/>
      <x:c r="W14" s="64"/>
      <x:c r="X14" s="64"/>
      <x:c r="Y14" s="64"/>
      <x:c r="Z14" s="64"/>
      <x:c r="AA14" s="64"/>
      <x:c r="AB14" s="64"/>
      <x:c r="AC14" s="64"/>
      <x:c r="AD14" s="64"/>
      <x:c r="AE14" s="64"/>
      <x:c r="AF14" s="64"/>
      <x:c r="AG14" s="64"/>
      <x:c r="AH14" s="64"/>
      <x:c r="AI14" s="64"/>
      <x:c r="AJ14" s="64"/>
      <x:c r="AK14" s="64"/>
      <x:c r="AL14" s="64"/>
      <x:c r="AM14" s="64"/>
      <x:c r="AN14" s="64"/>
      <x:c r="AO14" s="64"/>
      <x:c r="AP14" s="64"/>
      <x:c r="AQ14" s="64"/>
      <x:c r="AR14" s="64"/>
      <x:c r="AS14" s="64"/>
    </x:row>
    <x:row r="15" ht="23" customHeight="1">
      <x:c r="A15" s="72" t="s">
        <x:v>74</x:v>
      </x:c>
      <x:c r="B15" s="73" t="s">
        <x:v>125</x:v>
      </x:c>
      <x:c r="C15" s="74" t="e">
        <x:f>B8</x:f>
        <x:v>#NAME?</x:v>
      </x:c>
      <x:c r="D15" s="75" t="e">
        <x:f>C8</x:f>
        <x:v>#NAME?</x:v>
      </x:c>
      <x:c r="E15" s="75" t="e">
        <x:f>D8</x:f>
        <x:v>#NAME?</x:v>
      </x:c>
      <x:c r="F15" s="76" t="s">
        <x:v>126</x:v>
      </x:c>
      <x:c r="G15" s="77" t="s">
        <x:v>127</x:v>
      </x:c>
      <x:c r="H15" s="78" t="e">
        <x:f>G50</x:f>
        <x:v>#NAME?</x:v>
      </x:c>
      <x:c r="I15" s="76" t="s">
        <x:v>128</x:v>
      </x:c>
      <x:c r="J15" s="77" t="s">
        <x:v>129</x:v>
      </x:c>
      <x:c r="K15" s="78" t="e">
        <x:f>J50</x:f>
        <x:v>#NAME?</x:v>
      </x:c>
      <x:c r="L15" s="76" t="s">
        <x:v>130</x:v>
      </x:c>
      <x:c r="M15" s="78" t="e">
        <x:f>L50</x:f>
        <x:v>#NAME?</x:v>
      </x:c>
      <x:c r="N15" s="76" t="s">
        <x:v>131</x:v>
      </x:c>
      <x:c r="O15" s="79">
        <x:v>100</x:v>
      </x:c>
      <x:c r="P15" s="78" t="e">
        <x:f>O50</x:f>
        <x:v>#NAME?</x:v>
      </x:c>
      <x:c r="Q15" s="79" t="e">
        <x:f>P50</x:f>
        <x:v>#NAME?</x:v>
      </x:c>
      <x:c r="R15" s="79" t="e">
        <x:f>Q50</x:f>
        <x:v>#NAME?</x:v>
      </x:c>
      <x:c r="S15" s="80" t="e">
        <x:f>R50</x:f>
        <x:v>#NAME?</x:v>
      </x:c>
      <x:c r="T15" s="77" t="e">
        <x:f>S50</x:f>
        <x:v>#NAME?</x:v>
      </x:c>
    </x:row>
    <x:row r="16" ht="21" customHeight="1">
      <x:c r="A16" s="81"/>
      <x:c r="B16" s="73" t="s">
        <x:v>132</x:v>
      </x:c>
      <x:c r="C16" s="77"/>
      <x:c r="D16" s="77"/>
      <x:c r="E16" s="77"/>
      <x:c r="F16" s="76" t="s">
        <x:v>133</x:v>
      </x:c>
      <x:c r="G16" s="82" t="e">
        <x:f>IF(F16="-","-",IFERROR(VLOOKUP(F16,食物数据库V3!$B$6:$K$59,8,FALSE),"-"))</x:f>
        <x:v>#NAME?</x:v>
      </x:c>
      <x:c r="H16" s="79" t="e">
        <x:f>C60</x:f>
        <x:v>#NAME?</x:v>
      </x:c>
      <x:c r="I16" s="76" t="s">
        <x:v>134</x:v>
      </x:c>
      <x:c r="J16" s="82" t="e">
        <x:f>IF(I16="-","-",IFERROR(VLOOKUP(I16,食物数据库V3!$B$6:$K$59,8,FALSE),"-"))</x:f>
        <x:v>#NAME?</x:v>
      </x:c>
      <x:c r="K16" s="79" t="e">
        <x:f>I60</x:f>
        <x:v>#NAME?</x:v>
      </x:c>
      <x:c r="L16" s="76" t="s">
        <x:v>135</x:v>
      </x:c>
      <x:c r="M16" s="78" t="e">
        <x:f>O60</x:f>
        <x:v>#NAME?</x:v>
      </x:c>
      <x:c r="N16" s="77"/>
      <x:c r="O16" s="77"/>
      <x:c r="P16" s="77"/>
      <x:c r="Q16" s="77"/>
      <x:c r="R16" s="77"/>
      <x:c r="S16" s="77"/>
      <x:c r="T16" s="77"/>
    </x:row>
    <x:row r="17" ht="21" customHeight="1">
      <x:c r="A17" s="81"/>
      <x:c r="B17" s="73" t="s">
        <x:v>136</x:v>
      </x:c>
      <x:c r="C17" s="77"/>
      <x:c r="D17" s="77"/>
      <x:c r="E17" s="77"/>
      <x:c r="F17" s="76" t="s">
        <x:v>137</x:v>
      </x:c>
      <x:c r="G17" s="82" t="e">
        <x:f>IF(F17="-","-",IFERROR(VLOOKUP(F17,食物数据库V3!$B$6:$K$59,8,FALSE),"-"))</x:f>
        <x:v>#NAME?</x:v>
      </x:c>
      <x:c r="H17" s="79" t="e">
        <x:f>E60</x:f>
        <x:v>#NAME?</x:v>
      </x:c>
      <x:c r="I17" s="76" t="s">
        <x:v>138</x:v>
      </x:c>
      <x:c r="J17" s="82" t="e">
        <x:f>IF(I17="-","-",IFERROR(VLOOKUP(I17,食物数据库V3!$B$6:$K$59,8,FALSE),"-"))</x:f>
        <x:v>#NAME?</x:v>
      </x:c>
      <x:c r="K17" s="79" t="e">
        <x:f>K60</x:f>
        <x:v>#NAME?</x:v>
      </x:c>
      <x:c r="L17" s="76" t="s">
        <x:v>139</x:v>
      </x:c>
      <x:c r="M17" s="78" t="e">
        <x:f>Q60</x:f>
        <x:v>#NAME?</x:v>
      </x:c>
      <x:c r="N17" s="77"/>
      <x:c r="O17" s="77"/>
      <x:c r="P17" s="77"/>
      <x:c r="Q17" s="77"/>
      <x:c r="R17" s="77"/>
      <x:c r="S17" s="77"/>
      <x:c r="T17" s="77"/>
    </x:row>
    <x:row r="18" ht="21" customHeight="1">
      <x:c r="A18" s="81"/>
      <x:c r="B18" s="73" t="s">
        <x:v>140</x:v>
      </x:c>
      <x:c r="C18" s="77"/>
      <x:c r="D18" s="77"/>
      <x:c r="E18" s="77"/>
      <x:c r="F18" s="76" t="s">
        <x:v>141</x:v>
      </x:c>
      <x:c r="G18" s="82" t="e">
        <x:f>IF(F18="-","-",IFERROR(VLOOKUP(F18,食物数据库V3!$B$6:$K$59,8,FALSE),"-"))</x:f>
        <x:v>#NAME?</x:v>
      </x:c>
      <x:c r="H18" s="79" t="e">
        <x:f>G60</x:f>
        <x:v>#NAME?</x:v>
      </x:c>
      <x:c r="I18" s="76"/>
      <x:c r="J18" s="82" t="e">
        <x:f>IF(I18="-","-",IFERROR(VLOOKUP(I18,食物数据库V3!$B$6:$K$59,8,FALSE),"-"))</x:f>
        <x:v>#NAME?</x:v>
      </x:c>
      <x:c r="K18" s="79" t="e">
        <x:f>M60</x:f>
        <x:v>#NAME?</x:v>
      </x:c>
      <x:c r="L18" s="76" t="s">
        <x:v>142</x:v>
      </x:c>
      <x:c r="M18" s="78" t="e">
        <x:f>S60</x:f>
        <x:v>#NAME?</x:v>
      </x:c>
      <x:c r="N18" s="77"/>
      <x:c r="O18" s="77"/>
      <x:c r="P18" s="77"/>
      <x:c r="Q18" s="77"/>
      <x:c r="R18" s="77"/>
      <x:c r="S18" s="77"/>
      <x:c r="T18" s="77"/>
    </x:row>
    <x:row r="19" ht="23" customHeight="1">
      <x:c r="A19" s="72" t="s">
        <x:v>76</x:v>
      </x:c>
      <x:c r="B19" s="73" t="s">
        <x:v>125</x:v>
      </x:c>
      <x:c r="C19" s="74" t="e">
        <x:f>B9</x:f>
        <x:v>#NAME?</x:v>
      </x:c>
      <x:c r="D19" s="75" t="e">
        <x:f>C9</x:f>
        <x:v>#NAME?</x:v>
      </x:c>
      <x:c r="E19" s="75" t="e">
        <x:f>D9</x:f>
        <x:v>#NAME?</x:v>
      </x:c>
      <x:c r="F19" s="76" t="s">
        <x:v>141</x:v>
      </x:c>
      <x:c r="G19" s="77" t="s">
        <x:v>127</x:v>
      </x:c>
      <x:c r="H19" s="78" t="e">
        <x:f>G51</x:f>
        <x:v>#NAME?</x:v>
      </x:c>
      <x:c r="I19" s="76" t="s">
        <x:v>143</x:v>
      </x:c>
      <x:c r="J19" s="77" t="s">
        <x:v>129</x:v>
      </x:c>
      <x:c r="K19" s="78" t="e">
        <x:f>J51</x:f>
        <x:v>#NAME?</x:v>
      </x:c>
      <x:c r="L19" s="76" t="s">
        <x:v>130</x:v>
      </x:c>
      <x:c r="M19" s="78" t="e">
        <x:f>L51</x:f>
        <x:v>#NAME?</x:v>
      </x:c>
      <x:c r="N19" s="76" t="s">
        <x:v>144</x:v>
      </x:c>
      <x:c r="O19" s="79">
        <x:v>200</x:v>
      </x:c>
      <x:c r="P19" s="78" t="e">
        <x:f>O51</x:f>
        <x:v>#NAME?</x:v>
      </x:c>
      <x:c r="Q19" s="79" t="e">
        <x:f>P51</x:f>
        <x:v>#NAME?</x:v>
      </x:c>
      <x:c r="R19" s="79" t="e">
        <x:f>Q51</x:f>
        <x:v>#NAME?</x:v>
      </x:c>
      <x:c r="S19" s="80" t="e">
        <x:f>R51</x:f>
        <x:v>#NAME?</x:v>
      </x:c>
      <x:c r="T19" s="77" t="e">
        <x:f>S51</x:f>
        <x:v>#NAME?</x:v>
      </x:c>
      <x:c r="U19" s="64"/>
      <x:c r="V19" s="64"/>
      <x:c r="W19" s="64"/>
      <x:c r="X19" s="64"/>
      <x:c r="Y19" s="64"/>
      <x:c r="Z19" s="64"/>
      <x:c r="AA19" s="64"/>
      <x:c r="AB19" s="64"/>
      <x:c r="AC19" s="64"/>
      <x:c r="AD19" s="64"/>
      <x:c r="AE19" s="64"/>
      <x:c r="AF19" s="64"/>
      <x:c r="AG19" s="64"/>
      <x:c r="AH19" s="64"/>
      <x:c r="AI19" s="64"/>
      <x:c r="AJ19" s="64"/>
      <x:c r="AK19" s="64"/>
      <x:c r="AL19" s="64"/>
      <x:c r="AM19" s="64"/>
      <x:c r="AN19" s="64"/>
      <x:c r="AO19" s="64"/>
      <x:c r="AP19" s="64"/>
      <x:c r="AQ19" s="64"/>
      <x:c r="AR19" s="64"/>
      <x:c r="AS19" s="64"/>
    </x:row>
    <x:row r="20" ht="21" customHeight="1">
      <x:c r="A20" s="81"/>
      <x:c r="B20" s="73" t="s">
        <x:v>132</x:v>
      </x:c>
      <x:c r="C20" s="77"/>
      <x:c r="D20" s="77"/>
      <x:c r="E20" s="77"/>
      <x:c r="F20" s="76" t="s">
        <x:v>141</x:v>
      </x:c>
      <x:c r="G20" s="82" t="e">
        <x:f>IF(F20="-","-",IFERROR(VLOOKUP(F20,食物数据库V3!$B$6:$K$59,8,FALSE),"-"))</x:f>
        <x:v>#NAME?</x:v>
      </x:c>
      <x:c r="H20" s="79" t="e">
        <x:f>C61</x:f>
        <x:v>#NAME?</x:v>
      </x:c>
      <x:c r="I20" s="76" t="s">
        <x:v>143</x:v>
      </x:c>
      <x:c r="J20" s="82" t="e">
        <x:f>IF(I20="-","-",IFERROR(VLOOKUP(I20,食物数据库V3!$B$6:$K$59,8,FALSE),"-"))</x:f>
        <x:v>#NAME?</x:v>
      </x:c>
      <x:c r="K20" s="79" t="e">
        <x:f>I61</x:f>
        <x:v>#NAME?</x:v>
      </x:c>
      <x:c r="L20" s="76" t="s">
        <x:v>130</x:v>
      </x:c>
      <x:c r="M20" s="78" t="e">
        <x:f>O61</x:f>
        <x:v>#NAME?</x:v>
      </x:c>
      <x:c r="N20" s="77"/>
      <x:c r="O20" s="77"/>
      <x:c r="P20" s="77"/>
      <x:c r="Q20" s="77"/>
      <x:c r="R20" s="77"/>
      <x:c r="S20" s="77"/>
      <x:c r="T20" s="77"/>
      <x:c r="U20" s="64"/>
      <x:c r="V20" s="64"/>
      <x:c r="W20" s="64"/>
      <x:c r="X20" s="64"/>
      <x:c r="Y20" s="64"/>
      <x:c r="Z20" s="64"/>
      <x:c r="AA20" s="64"/>
      <x:c r="AB20" s="64"/>
      <x:c r="AC20" s="64"/>
      <x:c r="AD20" s="64"/>
      <x:c r="AE20" s="64"/>
      <x:c r="AF20" s="64"/>
      <x:c r="AG20" s="64"/>
      <x:c r="AH20" s="64"/>
      <x:c r="AI20" s="64"/>
      <x:c r="AJ20" s="64"/>
      <x:c r="AK20" s="64"/>
      <x:c r="AL20" s="64"/>
      <x:c r="AM20" s="64"/>
      <x:c r="AN20" s="64"/>
      <x:c r="AO20" s="64"/>
      <x:c r="AP20" s="64"/>
      <x:c r="AQ20" s="64"/>
      <x:c r="AR20" s="64"/>
      <x:c r="AS20" s="64"/>
    </x:row>
    <x:row r="21" ht="21" customHeight="1">
      <x:c r="A21" s="81"/>
      <x:c r="B21" s="73" t="s">
        <x:v>136</x:v>
      </x:c>
      <x:c r="C21" s="77"/>
      <x:c r="D21" s="77"/>
      <x:c r="E21" s="77"/>
      <x:c r="F21" s="76" t="s">
        <x:v>126</x:v>
      </x:c>
      <x:c r="G21" s="82" t="e">
        <x:f>IF(F21="-","-",IFERROR(VLOOKUP(F21,食物数据库V3!$B$6:$K$59,8,FALSE),"-"))</x:f>
        <x:v>#NAME?</x:v>
      </x:c>
      <x:c r="H21" s="79" t="e">
        <x:f>E61</x:f>
        <x:v>#NAME?</x:v>
      </x:c>
      <x:c r="I21" s="76" t="s">
        <x:v>145</x:v>
      </x:c>
      <x:c r="J21" s="82" t="e">
        <x:f>IF(I21="-","-",IFERROR(VLOOKUP(I21,食物数据库V3!$B$6:$K$59,8,FALSE),"-"))</x:f>
        <x:v>#NAME?</x:v>
      </x:c>
      <x:c r="K21" s="79" t="e">
        <x:f>K61</x:f>
        <x:v>#NAME?</x:v>
      </x:c>
      <x:c r="L21" s="76" t="s">
        <x:v>135</x:v>
      </x:c>
      <x:c r="M21" s="78" t="e">
        <x:f>Q61</x:f>
        <x:v>#NAME?</x:v>
      </x:c>
      <x:c r="N21" s="77"/>
      <x:c r="O21" s="77"/>
      <x:c r="P21" s="77"/>
      <x:c r="Q21" s="77"/>
      <x:c r="R21" s="77"/>
      <x:c r="S21" s="77"/>
      <x:c r="T21" s="77"/>
      <x:c r="U21" s="64"/>
      <x:c r="V21" s="64"/>
      <x:c r="W21" s="64"/>
      <x:c r="X21" s="64"/>
      <x:c r="Y21" s="64"/>
      <x:c r="Z21" s="64"/>
      <x:c r="AA21" s="64"/>
      <x:c r="AB21" s="64"/>
      <x:c r="AC21" s="64"/>
      <x:c r="AD21" s="64"/>
      <x:c r="AE21" s="64"/>
      <x:c r="AF21" s="64"/>
      <x:c r="AG21" s="64"/>
      <x:c r="AH21" s="64"/>
      <x:c r="AI21" s="64"/>
      <x:c r="AJ21" s="64"/>
      <x:c r="AK21" s="64"/>
      <x:c r="AL21" s="64"/>
      <x:c r="AM21" s="64"/>
      <x:c r="AN21" s="64"/>
      <x:c r="AO21" s="64"/>
      <x:c r="AP21" s="64"/>
      <x:c r="AQ21" s="64"/>
      <x:c r="AR21" s="64"/>
      <x:c r="AS21" s="64"/>
    </x:row>
    <x:row r="22" ht="21" customHeight="1">
      <x:c r="A22" s="81"/>
      <x:c r="B22" s="73" t="s">
        <x:v>140</x:v>
      </x:c>
      <x:c r="C22" s="77"/>
      <x:c r="D22" s="77"/>
      <x:c r="E22" s="77"/>
      <x:c r="F22" s="76" t="s">
        <x:v>146</x:v>
      </x:c>
      <x:c r="G22" s="82" t="e">
        <x:f>IF(F22="-","-",IFERROR(VLOOKUP(F22,食物数据库V3!$B$6:$K$59,8,FALSE),"-"))</x:f>
        <x:v>#NAME?</x:v>
      </x:c>
      <x:c r="H22" s="79" t="e">
        <x:f>G61</x:f>
        <x:v>#NAME?</x:v>
      </x:c>
      <x:c r="I22" s="76" t="s">
        <x:v>147</x:v>
      </x:c>
      <x:c r="J22" s="82" t="e">
        <x:f>IF(I22="-","-",IFERROR(VLOOKUP(I22,食物数据库V3!$B$6:$K$59,8,FALSE),"-"))</x:f>
        <x:v>#NAME?</x:v>
      </x:c>
      <x:c r="K22" s="79" t="e">
        <x:f>M61</x:f>
        <x:v>#NAME?</x:v>
      </x:c>
      <x:c r="L22" s="76" t="s">
        <x:v>148</x:v>
      </x:c>
      <x:c r="M22" s="78" t="e">
        <x:f>S61</x:f>
        <x:v>#NAME?</x:v>
      </x:c>
      <x:c r="N22" s="77"/>
      <x:c r="O22" s="77"/>
      <x:c r="P22" s="77"/>
      <x:c r="Q22" s="77"/>
      <x:c r="R22" s="77"/>
      <x:c r="S22" s="77"/>
      <x:c r="T22" s="77"/>
      <x:c r="U22" s="64"/>
      <x:c r="V22" s="64"/>
      <x:c r="W22" s="64"/>
      <x:c r="X22" s="64"/>
      <x:c r="Y22" s="64"/>
      <x:c r="Z22" s="64"/>
      <x:c r="AA22" s="64"/>
      <x:c r="AB22" s="64"/>
      <x:c r="AC22" s="64"/>
      <x:c r="AD22" s="64"/>
      <x:c r="AE22" s="64"/>
      <x:c r="AF22" s="64"/>
      <x:c r="AG22" s="64"/>
      <x:c r="AH22" s="64"/>
      <x:c r="AI22" s="64"/>
      <x:c r="AJ22" s="64"/>
      <x:c r="AK22" s="64"/>
      <x:c r="AL22" s="64"/>
      <x:c r="AM22" s="64"/>
      <x:c r="AN22" s="64"/>
      <x:c r="AO22" s="64"/>
      <x:c r="AP22" s="64"/>
      <x:c r="AQ22" s="64"/>
      <x:c r="AR22" s="64"/>
      <x:c r="AS22" s="64"/>
    </x:row>
    <x:row r="23" ht="23" customHeight="1">
      <x:c r="A23" s="72" t="s">
        <x:v>78</x:v>
      </x:c>
      <x:c r="B23" s="73" t="s">
        <x:v>125</x:v>
      </x:c>
      <x:c r="C23" s="74" t="e">
        <x:f>B10</x:f>
        <x:v>#NAME?</x:v>
      </x:c>
      <x:c r="D23" s="75" t="e">
        <x:f>C10</x:f>
        <x:v>#NAME?</x:v>
      </x:c>
      <x:c r="E23" s="75" t="e">
        <x:f>D10</x:f>
        <x:v>#NAME?</x:v>
      </x:c>
      <x:c r="F23" s="76" t="s">
        <x:v>146</x:v>
      </x:c>
      <x:c r="G23" s="77" t="s">
        <x:v>127</x:v>
      </x:c>
      <x:c r="H23" s="78" t="e">
        <x:f>G52</x:f>
        <x:v>#NAME?</x:v>
      </x:c>
      <x:c r="I23" s="76" t="s">
        <x:v>55</x:v>
      </x:c>
      <x:c r="J23" s="77" t="s">
        <x:v>55</x:v>
      </x:c>
      <x:c r="K23" s="78" t="n">
        <x:f>J52</x:f>
        <x:v>0</x:v>
      </x:c>
      <x:c r="L23" s="76" t="s">
        <x:v>55</x:v>
      </x:c>
      <x:c r="M23" s="78" t="n">
        <x:f>L52</x:f>
        <x:v>0</x:v>
      </x:c>
      <x:c r="N23" s="76" t="s">
        <x:v>55</x:v>
      </x:c>
      <x:c r="O23" s="79">
        <x:v>0</x:v>
      </x:c>
      <x:c r="P23" s="78" t="e">
        <x:f>O52</x:f>
        <x:v>#NAME?</x:v>
      </x:c>
      <x:c r="Q23" s="79" t="e">
        <x:f>P52</x:f>
        <x:v>#NAME?</x:v>
      </x:c>
      <x:c r="R23" s="79" t="e">
        <x:f>Q52</x:f>
        <x:v>#NAME?</x:v>
      </x:c>
      <x:c r="S23" s="80" t="e">
        <x:f>R52</x:f>
        <x:v>#NAME?</x:v>
      </x:c>
      <x:c r="T23" s="77" t="e">
        <x:f>S52</x:f>
        <x:v>#NAME?</x:v>
      </x:c>
      <x:c r="U23" s="64"/>
      <x:c r="V23" s="64"/>
      <x:c r="W23" s="64"/>
      <x:c r="X23" s="64"/>
      <x:c r="Y23" s="64"/>
      <x:c r="Z23" s="64"/>
      <x:c r="AA23" s="64"/>
      <x:c r="AB23" s="64"/>
      <x:c r="AC23" s="64"/>
      <x:c r="AD23" s="64"/>
      <x:c r="AE23" s="64"/>
      <x:c r="AF23" s="64"/>
      <x:c r="AG23" s="64"/>
      <x:c r="AH23" s="64"/>
      <x:c r="AI23" s="64"/>
      <x:c r="AJ23" s="64"/>
      <x:c r="AK23" s="64"/>
      <x:c r="AL23" s="64"/>
      <x:c r="AM23" s="64"/>
      <x:c r="AN23" s="64"/>
      <x:c r="AO23" s="64"/>
      <x:c r="AP23" s="64"/>
      <x:c r="AQ23" s="64"/>
      <x:c r="AR23" s="64"/>
      <x:c r="AS23" s="64"/>
    </x:row>
    <x:row r="24" ht="21" customHeight="1">
      <x:c r="A24" s="81"/>
      <x:c r="B24" s="73" t="s">
        <x:v>132</x:v>
      </x:c>
      <x:c r="C24" s="77"/>
      <x:c r="D24" s="77"/>
      <x:c r="E24" s="77"/>
      <x:c r="F24" s="76" t="s">
        <x:v>146</x:v>
      </x:c>
      <x:c r="G24" s="82" t="e">
        <x:f>IF(F24="-","-",IFERROR(VLOOKUP(F24,食物数据库V3!$B$6:$K$59,8,FALSE),"-"))</x:f>
        <x:v>#NAME?</x:v>
      </x:c>
      <x:c r="H24" s="79" t="e">
        <x:f>C62</x:f>
        <x:v>#NAME?</x:v>
      </x:c>
      <x:c r="I24" s="76" t="s">
        <x:v>55</x:v>
      </x:c>
      <x:c r="J24" s="82" t="e">
        <x:f>IF(I24="-","-",IFERROR(VLOOKUP(I24,食物数据库V3!$B$6:$K$59,8,FALSE),"-"))</x:f>
        <x:v>#NAME?</x:v>
      </x:c>
      <x:c r="K24" s="79" t="n">
        <x:f>I62</x:f>
        <x:v>0</x:v>
      </x:c>
      <x:c r="L24" s="76" t="s">
        <x:v>55</x:v>
      </x:c>
      <x:c r="M24" s="78" t="n">
        <x:f>O62</x:f>
        <x:v>0</x:v>
      </x:c>
      <x:c r="N24" s="77"/>
      <x:c r="O24" s="77"/>
      <x:c r="P24" s="77"/>
      <x:c r="Q24" s="77"/>
      <x:c r="R24" s="77"/>
      <x:c r="S24" s="77"/>
      <x:c r="T24" s="77"/>
      <x:c r="U24" s="64"/>
      <x:c r="V24" s="64"/>
      <x:c r="W24" s="64"/>
      <x:c r="X24" s="64"/>
      <x:c r="Y24" s="64"/>
      <x:c r="Z24" s="64"/>
      <x:c r="AA24" s="64"/>
      <x:c r="AB24" s="64"/>
      <x:c r="AC24" s="64"/>
      <x:c r="AD24" s="64"/>
      <x:c r="AE24" s="64"/>
      <x:c r="AF24" s="64"/>
      <x:c r="AG24" s="64"/>
      <x:c r="AH24" s="64"/>
      <x:c r="AI24" s="64"/>
      <x:c r="AJ24" s="64"/>
      <x:c r="AK24" s="64"/>
      <x:c r="AL24" s="64"/>
      <x:c r="AM24" s="64"/>
      <x:c r="AN24" s="64"/>
      <x:c r="AO24" s="64"/>
      <x:c r="AP24" s="64"/>
      <x:c r="AQ24" s="64"/>
      <x:c r="AR24" s="64"/>
      <x:c r="AS24" s="64"/>
    </x:row>
    <x:row r="25" ht="21" customHeight="1">
      <x:c r="A25" s="81"/>
      <x:c r="B25" s="73" t="s">
        <x:v>136</x:v>
      </x:c>
      <x:c r="C25" s="77"/>
      <x:c r="D25" s="77"/>
      <x:c r="E25" s="77"/>
      <x:c r="F25" s="76" t="s">
        <x:v>126</x:v>
      </x:c>
      <x:c r="G25" s="82" t="e">
        <x:f>IF(F25="-","-",IFERROR(VLOOKUP(F25,食物数据库V3!$B$6:$K$59,8,FALSE),"-"))</x:f>
        <x:v>#NAME?</x:v>
      </x:c>
      <x:c r="H25" s="79" t="e">
        <x:f>E62</x:f>
        <x:v>#NAME?</x:v>
      </x:c>
      <x:c r="I25" s="76" t="s">
        <x:v>55</x:v>
      </x:c>
      <x:c r="J25" s="82" t="e">
        <x:f>IF(I25="-","-",IFERROR(VLOOKUP(I25,食物数据库V3!$B$6:$K$59,8,FALSE),"-"))</x:f>
        <x:v>#NAME?</x:v>
      </x:c>
      <x:c r="K25" s="79" t="n">
        <x:f>K62</x:f>
        <x:v>0</x:v>
      </x:c>
      <x:c r="L25" s="76" t="s">
        <x:v>55</x:v>
      </x:c>
      <x:c r="M25" s="78" t="n">
        <x:f>Q62</x:f>
        <x:v>0</x:v>
      </x:c>
      <x:c r="N25" s="77"/>
      <x:c r="O25" s="77"/>
      <x:c r="P25" s="77"/>
      <x:c r="Q25" s="77"/>
      <x:c r="R25" s="77"/>
      <x:c r="S25" s="77"/>
      <x:c r="T25" s="77"/>
      <x:c r="U25" s="64"/>
      <x:c r="V25" s="64"/>
      <x:c r="W25" s="64"/>
      <x:c r="X25" s="64"/>
      <x:c r="Y25" s="64"/>
      <x:c r="Z25" s="64"/>
      <x:c r="AA25" s="64"/>
      <x:c r="AB25" s="64"/>
      <x:c r="AC25" s="64"/>
      <x:c r="AD25" s="64"/>
      <x:c r="AE25" s="64"/>
      <x:c r="AF25" s="64"/>
      <x:c r="AG25" s="64"/>
      <x:c r="AH25" s="64"/>
      <x:c r="AI25" s="64"/>
      <x:c r="AJ25" s="64"/>
      <x:c r="AK25" s="64"/>
      <x:c r="AL25" s="64"/>
      <x:c r="AM25" s="64"/>
      <x:c r="AN25" s="64"/>
      <x:c r="AO25" s="64"/>
      <x:c r="AP25" s="64"/>
      <x:c r="AQ25" s="64"/>
      <x:c r="AR25" s="64"/>
      <x:c r="AS25" s="64"/>
    </x:row>
    <x:row r="26" ht="21" customHeight="1">
      <x:c r="A26" s="81"/>
      <x:c r="B26" s="73" t="s">
        <x:v>140</x:v>
      </x:c>
      <x:c r="C26" s="77"/>
      <x:c r="D26" s="77"/>
      <x:c r="E26" s="77"/>
      <x:c r="F26" s="76" t="s">
        <x:v>141</x:v>
      </x:c>
      <x:c r="G26" s="82" t="e">
        <x:f>IF(F26="-","-",IFERROR(VLOOKUP(F26,食物数据库V3!$B$6:$K$59,8,FALSE),"-"))</x:f>
        <x:v>#NAME?</x:v>
      </x:c>
      <x:c r="H26" s="79" t="e">
        <x:f>G62</x:f>
        <x:v>#NAME?</x:v>
      </x:c>
      <x:c r="I26" s="76" t="s">
        <x:v>55</x:v>
      </x:c>
      <x:c r="J26" s="82" t="e">
        <x:f>IF(I26="-","-",IFERROR(VLOOKUP(I26,食物数据库V3!$B$6:$K$59,8,FALSE),"-"))</x:f>
        <x:v>#NAME?</x:v>
      </x:c>
      <x:c r="K26" s="79" t="n">
        <x:f>M62</x:f>
        <x:v>0</x:v>
      </x:c>
      <x:c r="L26" s="76" t="s">
        <x:v>55</x:v>
      </x:c>
      <x:c r="M26" s="78" t="n">
        <x:f>S62</x:f>
        <x:v>0</x:v>
      </x:c>
      <x:c r="N26" s="77"/>
      <x:c r="O26" s="77"/>
      <x:c r="P26" s="77"/>
      <x:c r="Q26" s="77"/>
      <x:c r="R26" s="77"/>
      <x:c r="S26" s="77"/>
      <x:c r="T26" s="77"/>
      <x:c r="U26" s="64"/>
      <x:c r="V26" s="64"/>
      <x:c r="W26" s="64"/>
      <x:c r="X26" s="64"/>
      <x:c r="Y26" s="64"/>
      <x:c r="Z26" s="64"/>
      <x:c r="AA26" s="64"/>
      <x:c r="AB26" s="64"/>
      <x:c r="AC26" s="64"/>
      <x:c r="AD26" s="64"/>
      <x:c r="AE26" s="64"/>
      <x:c r="AF26" s="64"/>
      <x:c r="AG26" s="64"/>
      <x:c r="AH26" s="64"/>
      <x:c r="AI26" s="64"/>
      <x:c r="AJ26" s="64"/>
      <x:c r="AK26" s="64"/>
      <x:c r="AL26" s="64"/>
      <x:c r="AM26" s="64"/>
      <x:c r="AN26" s="64"/>
      <x:c r="AO26" s="64"/>
      <x:c r="AP26" s="64"/>
      <x:c r="AQ26" s="64"/>
      <x:c r="AR26" s="64"/>
      <x:c r="AS26" s="64"/>
    </x:row>
    <x:row r="27" ht="23" customHeight="1">
      <x:c r="A27" s="72" t="s">
        <x:v>80</x:v>
      </x:c>
      <x:c r="B27" s="73" t="s">
        <x:v>125</x:v>
      </x:c>
      <x:c r="C27" s="74" t="e">
        <x:f>B11</x:f>
        <x:v>#NAME?</x:v>
      </x:c>
      <x:c r="D27" s="75" t="e">
        <x:f>C11</x:f>
        <x:v>#NAME?</x:v>
      </x:c>
      <x:c r="E27" s="75" t="e">
        <x:f>D11</x:f>
        <x:v>#NAME?</x:v>
      </x:c>
      <x:c r="F27" s="76" t="s">
        <x:v>149</x:v>
      </x:c>
      <x:c r="G27" s="77" t="s">
        <x:v>127</x:v>
      </x:c>
      <x:c r="H27" s="78" t="e">
        <x:f>G53</x:f>
        <x:v>#NAME?</x:v>
      </x:c>
      <x:c r="I27" s="76" t="s">
        <x:v>143</x:v>
      </x:c>
      <x:c r="J27" s="77" t="s">
        <x:v>129</x:v>
      </x:c>
      <x:c r="K27" s="78" t="e">
        <x:f>J53</x:f>
        <x:v>#NAME?</x:v>
      </x:c>
      <x:c r="L27" s="76" t="s">
        <x:v>130</x:v>
      </x:c>
      <x:c r="M27" s="78" t="e">
        <x:f>L53</x:f>
        <x:v>#NAME?</x:v>
      </x:c>
      <x:c r="N27" s="76" t="s">
        <x:v>131</x:v>
      </x:c>
      <x:c r="O27" s="79">
        <x:v>200</x:v>
      </x:c>
      <x:c r="P27" s="78" t="e">
        <x:f>O53</x:f>
        <x:v>#NAME?</x:v>
      </x:c>
      <x:c r="Q27" s="79" t="e">
        <x:f>P53</x:f>
        <x:v>#NAME?</x:v>
      </x:c>
      <x:c r="R27" s="79" t="e">
        <x:f>Q53</x:f>
        <x:v>#NAME?</x:v>
      </x:c>
      <x:c r="S27" s="80" t="e">
        <x:f>R53</x:f>
        <x:v>#NAME?</x:v>
      </x:c>
      <x:c r="T27" s="77" t="e">
        <x:f>S53</x:f>
        <x:v>#NAME?</x:v>
      </x:c>
      <x:c r="U27" s="64"/>
      <x:c r="V27" s="64"/>
      <x:c r="W27" s="64"/>
      <x:c r="X27" s="64"/>
      <x:c r="Y27" s="64"/>
      <x:c r="Z27" s="64"/>
      <x:c r="AA27" s="64"/>
      <x:c r="AB27" s="64"/>
      <x:c r="AC27" s="64"/>
      <x:c r="AD27" s="64"/>
      <x:c r="AE27" s="64"/>
      <x:c r="AF27" s="64"/>
      <x:c r="AG27" s="64"/>
      <x:c r="AH27" s="64"/>
      <x:c r="AI27" s="64"/>
      <x:c r="AJ27" s="64"/>
      <x:c r="AK27" s="64"/>
      <x:c r="AL27" s="64"/>
      <x:c r="AM27" s="64"/>
      <x:c r="AN27" s="64"/>
      <x:c r="AO27" s="64"/>
      <x:c r="AP27" s="64"/>
      <x:c r="AQ27" s="64"/>
      <x:c r="AR27" s="64"/>
      <x:c r="AS27" s="64"/>
    </x:row>
    <x:row r="28" ht="21" customHeight="1">
      <x:c r="A28" s="81"/>
      <x:c r="B28" s="73" t="s">
        <x:v>132</x:v>
      </x:c>
      <x:c r="C28" s="77"/>
      <x:c r="D28" s="77"/>
      <x:c r="E28" s="77"/>
      <x:c r="F28" s="76" t="s">
        <x:v>149</x:v>
      </x:c>
      <x:c r="G28" s="82" t="e">
        <x:f>IF(F28="-","-",IFERROR(VLOOKUP(F28,食物数据库V3!$B$6:$K$59,8,FALSE),"-"))</x:f>
        <x:v>#NAME?</x:v>
      </x:c>
      <x:c r="H28" s="79" t="e">
        <x:f>C63</x:f>
        <x:v>#NAME?</x:v>
      </x:c>
      <x:c r="I28" s="76" t="s">
        <x:v>143</x:v>
      </x:c>
      <x:c r="J28" s="82" t="e">
        <x:f>IF(I28="-","-",IFERROR(VLOOKUP(I28,食物数据库V3!$B$6:$K$59,8,FALSE),"-"))</x:f>
        <x:v>#NAME?</x:v>
      </x:c>
      <x:c r="K28" s="79" t="e">
        <x:f>I63</x:f>
        <x:v>#NAME?</x:v>
      </x:c>
      <x:c r="L28" s="76" t="s">
        <x:v>130</x:v>
      </x:c>
      <x:c r="M28" s="78" t="e">
        <x:f>O63</x:f>
        <x:v>#NAME?</x:v>
      </x:c>
      <x:c r="N28" s="77"/>
      <x:c r="O28" s="77"/>
      <x:c r="P28" s="77"/>
      <x:c r="Q28" s="77"/>
      <x:c r="R28" s="77"/>
      <x:c r="S28" s="77"/>
      <x:c r="T28" s="77"/>
      <x:c r="U28" s="64"/>
      <x:c r="V28" s="64"/>
      <x:c r="W28" s="64"/>
      <x:c r="X28" s="64"/>
      <x:c r="Y28" s="64"/>
      <x:c r="Z28" s="64"/>
      <x:c r="AA28" s="64"/>
      <x:c r="AB28" s="64"/>
      <x:c r="AC28" s="64"/>
      <x:c r="AD28" s="64"/>
      <x:c r="AE28" s="64"/>
      <x:c r="AF28" s="64"/>
      <x:c r="AG28" s="64"/>
      <x:c r="AH28" s="64"/>
      <x:c r="AI28" s="64"/>
      <x:c r="AJ28" s="64"/>
      <x:c r="AK28" s="64"/>
      <x:c r="AL28" s="64"/>
      <x:c r="AM28" s="64"/>
      <x:c r="AN28" s="64"/>
      <x:c r="AO28" s="64"/>
      <x:c r="AP28" s="64"/>
      <x:c r="AQ28" s="64"/>
      <x:c r="AR28" s="64"/>
      <x:c r="AS28" s="64"/>
    </x:row>
    <x:row r="29" ht="21" customHeight="1">
      <x:c r="A29" s="81"/>
      <x:c r="B29" s="73" t="s">
        <x:v>136</x:v>
      </x:c>
      <x:c r="C29" s="77"/>
      <x:c r="D29" s="77"/>
      <x:c r="E29" s="77"/>
      <x:c r="F29" s="76" t="s">
        <x:v>141</x:v>
      </x:c>
      <x:c r="G29" s="82" t="e">
        <x:f>IF(F29="-","-",IFERROR(VLOOKUP(F29,食物数据库V3!$B$6:$K$59,8,FALSE),"-"))</x:f>
        <x:v>#NAME?</x:v>
      </x:c>
      <x:c r="H29" s="79" t="e">
        <x:f>E63</x:f>
        <x:v>#NAME?</x:v>
      </x:c>
      <x:c r="I29" s="76" t="s">
        <x:v>145</x:v>
      </x:c>
      <x:c r="J29" s="82" t="e">
        <x:f>IF(I29="-","-",IFERROR(VLOOKUP(I29,食物数据库V3!$B$6:$K$59,8,FALSE),"-"))</x:f>
        <x:v>#NAME?</x:v>
      </x:c>
      <x:c r="K29" s="79" t="e">
        <x:f>K63</x:f>
        <x:v>#NAME?</x:v>
      </x:c>
      <x:c r="L29" s="76" t="s">
        <x:v>135</x:v>
      </x:c>
      <x:c r="M29" s="78" t="e">
        <x:f>Q63</x:f>
        <x:v>#NAME?</x:v>
      </x:c>
      <x:c r="N29" s="77"/>
      <x:c r="O29" s="77"/>
      <x:c r="P29" s="77"/>
      <x:c r="Q29" s="77"/>
      <x:c r="R29" s="77"/>
      <x:c r="S29" s="77"/>
      <x:c r="T29" s="77"/>
      <x:c r="U29" s="64"/>
      <x:c r="V29" s="64"/>
      <x:c r="W29" s="64"/>
      <x:c r="X29" s="64"/>
      <x:c r="Y29" s="64"/>
      <x:c r="Z29" s="64"/>
      <x:c r="AA29" s="64"/>
      <x:c r="AB29" s="64"/>
      <x:c r="AC29" s="64"/>
      <x:c r="AD29" s="64"/>
      <x:c r="AE29" s="64"/>
      <x:c r="AF29" s="64"/>
      <x:c r="AG29" s="64"/>
      <x:c r="AH29" s="64"/>
      <x:c r="AI29" s="64"/>
      <x:c r="AJ29" s="64"/>
      <x:c r="AK29" s="64"/>
      <x:c r="AL29" s="64"/>
      <x:c r="AM29" s="64"/>
      <x:c r="AN29" s="64"/>
      <x:c r="AO29" s="64"/>
      <x:c r="AP29" s="64"/>
      <x:c r="AQ29" s="64"/>
      <x:c r="AR29" s="64"/>
      <x:c r="AS29" s="64"/>
    </x:row>
    <x:row r="30" ht="21" customHeight="1">
      <x:c r="A30" s="81"/>
      <x:c r="B30" s="73" t="s">
        <x:v>140</x:v>
      </x:c>
      <x:c r="C30" s="77"/>
      <x:c r="D30" s="77"/>
      <x:c r="E30" s="77"/>
      <x:c r="F30" s="76" t="s">
        <x:v>146</x:v>
      </x:c>
      <x:c r="G30" s="82" t="e">
        <x:f>IF(F30="-","-",IFERROR(VLOOKUP(F30,食物数据库V3!$B$6:$K$59,8,FALSE),"-"))</x:f>
        <x:v>#NAME?</x:v>
      </x:c>
      <x:c r="H30" s="79" t="e">
        <x:f>G63</x:f>
        <x:v>#NAME?</x:v>
      </x:c>
      <x:c r="I30" s="76" t="s">
        <x:v>147</x:v>
      </x:c>
      <x:c r="J30" s="82" t="e">
        <x:f>IF(I30="-","-",IFERROR(VLOOKUP(I30,食物数据库V3!$B$6:$K$59,8,FALSE),"-"))</x:f>
        <x:v>#NAME?</x:v>
      </x:c>
      <x:c r="K30" s="79" t="e">
        <x:f>M63</x:f>
        <x:v>#NAME?</x:v>
      </x:c>
      <x:c r="L30" s="76" t="s">
        <x:v>142</x:v>
      </x:c>
      <x:c r="M30" s="78" t="e">
        <x:f>S63</x:f>
        <x:v>#NAME?</x:v>
      </x:c>
      <x:c r="N30" s="77"/>
      <x:c r="O30" s="77"/>
      <x:c r="P30" s="77"/>
      <x:c r="Q30" s="77"/>
      <x:c r="R30" s="77"/>
      <x:c r="S30" s="77"/>
      <x:c r="T30" s="77"/>
      <x:c r="U30" s="64"/>
      <x:c r="V30" s="64"/>
      <x:c r="W30" s="64"/>
      <x:c r="X30" s="64"/>
      <x:c r="Y30" s="64"/>
      <x:c r="Z30" s="64"/>
      <x:c r="AA30" s="64"/>
      <x:c r="AB30" s="64"/>
      <x:c r="AC30" s="64"/>
      <x:c r="AD30" s="64"/>
      <x:c r="AE30" s="64"/>
      <x:c r="AF30" s="64"/>
      <x:c r="AG30" s="64"/>
      <x:c r="AH30" s="64"/>
      <x:c r="AI30" s="64"/>
      <x:c r="AJ30" s="64"/>
      <x:c r="AK30" s="64"/>
      <x:c r="AL30" s="64"/>
      <x:c r="AM30" s="64"/>
      <x:c r="AN30" s="64"/>
      <x:c r="AO30" s="64"/>
      <x:c r="AP30" s="64"/>
      <x:c r="AQ30" s="64"/>
      <x:c r="AR30" s="64"/>
      <x:c r="AS30" s="64"/>
    </x:row>
    <x:row r="31" ht="15">
      <x:c r="A31" s="83"/>
      <x:c r="B31" s="83"/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83"/>
      <x:c r="N31" s="83"/>
      <x:c r="O31" s="83"/>
      <x:c r="P31" s="83"/>
      <x:c r="Q31" s="83"/>
      <x:c r="R31" s="83"/>
      <x:c r="S31" s="83"/>
      <x:c r="T31" s="83"/>
      <x:c r="U31" s="64"/>
      <x:c r="V31" s="64"/>
      <x:c r="W31" s="64"/>
      <x:c r="X31" s="64"/>
      <x:c r="Y31" s="64"/>
      <x:c r="Z31" s="64"/>
      <x:c r="AA31" s="64"/>
      <x:c r="AB31" s="64"/>
      <x:c r="AC31" s="64"/>
      <x:c r="AD31" s="64"/>
      <x:c r="AE31" s="64"/>
      <x:c r="AF31" s="64"/>
      <x:c r="AG31" s="64"/>
      <x:c r="AH31" s="64"/>
      <x:c r="AI31" s="64"/>
      <x:c r="AJ31" s="64"/>
      <x:c r="AK31" s="64"/>
      <x:c r="AL31" s="64"/>
      <x:c r="AM31" s="64"/>
      <x:c r="AN31" s="64"/>
      <x:c r="AO31" s="64"/>
      <x:c r="AP31" s="64"/>
      <x:c r="AQ31" s="64"/>
      <x:c r="AR31" s="64"/>
      <x:c r="AS31" s="64"/>
    </x:row>
    <x:row r="32" ht="24" customHeight="1">
      <x:c r="A32" s="84" t="s">
        <x:v>150</x:v>
      </x:c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84"/>
      <x:c r="S32" s="84"/>
      <x:c r="T32" s="84"/>
      <x:c r="U32" s="64"/>
      <x:c r="V32" s="64"/>
      <x:c r="W32" s="64"/>
      <x:c r="X32" s="64"/>
      <x:c r="Y32" s="64"/>
      <x:c r="Z32" s="64"/>
      <x:c r="AA32" s="64"/>
      <x:c r="AB32" s="64"/>
      <x:c r="AC32" s="64"/>
      <x:c r="AD32" s="64"/>
      <x:c r="AE32" s="64"/>
      <x:c r="AF32" s="64"/>
      <x:c r="AG32" s="64"/>
      <x:c r="AH32" s="64"/>
      <x:c r="AI32" s="64"/>
      <x:c r="AJ32" s="64"/>
      <x:c r="AK32" s="64"/>
      <x:c r="AL32" s="64"/>
      <x:c r="AM32" s="64"/>
      <x:c r="AN32" s="64"/>
      <x:c r="AO32" s="64"/>
      <x:c r="AP32" s="64"/>
      <x:c r="AQ32" s="64"/>
      <x:c r="AR32" s="64"/>
      <x:c r="AS32" s="64"/>
    </x:row>
    <x:row r="33" ht="26" customHeight="1">
      <x:c r="A33" s="85" t="s">
        <x:v>151</x:v>
      </x:c>
      <x:c r="B33" s="85" t="s">
        <x:v>152</x:v>
      </x:c>
      <x:c r="C33" s="85" t="s">
        <x:v>153</x:v>
      </x:c>
      <x:c r="D33" s="85" t="s">
        <x:v>154</x:v>
      </x:c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64"/>
      <x:c r="V33" s="64"/>
      <x:c r="W33" s="64"/>
      <x:c r="X33" s="64"/>
      <x:c r="Y33" s="64"/>
      <x:c r="Z33" s="64"/>
      <x:c r="AA33" s="64"/>
      <x:c r="AB33" s="64"/>
      <x:c r="AC33" s="64"/>
      <x:c r="AD33" s="64"/>
      <x:c r="AE33" s="64"/>
      <x:c r="AF33" s="64"/>
      <x:c r="AG33" s="64"/>
      <x:c r="AH33" s="64"/>
      <x:c r="AI33" s="64"/>
      <x:c r="AJ33" s="64"/>
      <x:c r="AK33" s="64"/>
      <x:c r="AL33" s="64"/>
      <x:c r="AM33" s="64"/>
      <x:c r="AN33" s="64"/>
      <x:c r="AO33" s="64"/>
      <x:c r="AP33" s="64"/>
      <x:c r="AQ33" s="64"/>
      <x:c r="AR33" s="64"/>
      <x:c r="AS33" s="64"/>
    </x:row>
    <x:row r="34" ht="22" customHeight="1">
      <x:c r="A34" s="87" t="s">
        <x:v>47</x:v>
      </x:c>
      <x:c r="B34" s="88" t="e">
        <x:f>$K$4</x:f>
        <x:v>#NAME?</x:v>
      </x:c>
      <x:c r="C34" s="88" t="e">
        <x:f>SUM(P15,P19,P23,P27)</x:f>
        <x:v>#NAME?</x:v>
      </x:c>
      <x:c r="D34" s="89" t="e">
        <x:f>C34-B34</x:f>
        <x:v>#NAME?</x:v>
      </x:c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64"/>
      <x:c r="V34" s="64"/>
      <x:c r="W34" s="64"/>
      <x:c r="X34" s="64"/>
      <x:c r="Y34" s="64"/>
      <x:c r="Z34" s="64"/>
      <x:c r="AA34" s="64"/>
      <x:c r="AB34" s="64"/>
      <x:c r="AC34" s="64"/>
      <x:c r="AD34" s="64"/>
      <x:c r="AE34" s="64"/>
      <x:c r="AF34" s="64"/>
      <x:c r="AG34" s="64"/>
      <x:c r="AH34" s="64"/>
      <x:c r="AI34" s="64"/>
      <x:c r="AJ34" s="64"/>
      <x:c r="AK34" s="64"/>
      <x:c r="AL34" s="64"/>
      <x:c r="AM34" s="64"/>
      <x:c r="AN34" s="64"/>
      <x:c r="AO34" s="64"/>
      <x:c r="AP34" s="64"/>
      <x:c r="AQ34" s="64"/>
      <x:c r="AR34" s="64"/>
      <x:c r="AS34" s="64"/>
    </x:row>
    <x:row r="35" ht="26" customHeight="1">
      <x:c r="A35" s="87" t="s">
        <x:v>48</x:v>
      </x:c>
      <x:c r="B35" s="88" t="e">
        <x:f>$N$4</x:f>
        <x:v>#NAME?</x:v>
      </x:c>
      <x:c r="C35" s="88" t="e">
        <x:f>SUM(Q15,Q19,Q23,Q27)</x:f>
        <x:v>#NAME?</x:v>
      </x:c>
      <x:c r="D35" s="89" t="e">
        <x:f>C35-B35</x:f>
        <x:v>#NAME?</x:v>
      </x:c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64"/>
      <x:c r="V35" s="64"/>
      <x:c r="W35" s="64"/>
      <x:c r="X35" s="64"/>
      <x:c r="Y35" s="64"/>
      <x:c r="Z35" s="64"/>
      <x:c r="AA35" s="64"/>
      <x:c r="AB35" s="64"/>
      <x:c r="AC35" s="64"/>
      <x:c r="AD35" s="64"/>
      <x:c r="AE35" s="64"/>
      <x:c r="AF35" s="64"/>
      <x:c r="AG35" s="64"/>
      <x:c r="AH35" s="64"/>
      <x:c r="AI35" s="64"/>
      <x:c r="AJ35" s="64"/>
      <x:c r="AK35" s="64"/>
      <x:c r="AL35" s="64"/>
      <x:c r="AM35" s="64"/>
      <x:c r="AN35" s="64"/>
      <x:c r="AO35" s="64"/>
      <x:c r="AP35" s="64"/>
      <x:c r="AQ35" s="64"/>
      <x:c r="AR35" s="64"/>
      <x:c r="AS35" s="64"/>
    </x:row>
    <x:row r="36" ht="26" customHeight="1">
      <x:c r="A36" s="87" t="s">
        <x:v>49</x:v>
      </x:c>
      <x:c r="B36" s="88" t="e">
        <x:f>$Q$4</x:f>
        <x:v>#NAME?</x:v>
      </x:c>
      <x:c r="C36" s="88" t="e">
        <x:f>SUM(R15,R19,R23,R27)</x:f>
        <x:v>#NAME?</x:v>
      </x:c>
      <x:c r="D36" s="89" t="e">
        <x:f>C36-B36</x:f>
        <x:v>#NAME?</x:v>
      </x:c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64"/>
      <x:c r="V36" s="64"/>
      <x:c r="W36" s="64"/>
      <x:c r="X36" s="64"/>
      <x:c r="Y36" s="64"/>
      <x:c r="Z36" s="64"/>
      <x:c r="AA36" s="64"/>
      <x:c r="AB36" s="64"/>
      <x:c r="AC36" s="64"/>
      <x:c r="AD36" s="64"/>
      <x:c r="AE36" s="64"/>
      <x:c r="AF36" s="64"/>
      <x:c r="AG36" s="64"/>
      <x:c r="AH36" s="64"/>
      <x:c r="AI36" s="64"/>
      <x:c r="AJ36" s="64"/>
      <x:c r="AK36" s="64"/>
      <x:c r="AL36" s="64"/>
      <x:c r="AM36" s="64"/>
      <x:c r="AN36" s="64"/>
      <x:c r="AO36" s="64"/>
      <x:c r="AP36" s="64"/>
      <x:c r="AQ36" s="64"/>
      <x:c r="AR36" s="64"/>
      <x:c r="AS36" s="64"/>
    </x:row>
    <x:row r="37" ht="26" customHeight="1">
      <x:c r="A37" s="87" t="s">
        <x:v>155</x:v>
      </x:c>
      <x:c r="B37" s="90" t="e">
        <x:f>$T$4</x:f>
        <x:v>#NAME?</x:v>
      </x:c>
      <x:c r="C37" s="90" t="e">
        <x:f>SUM(S15,S19,S23,S27)</x:f>
        <x:v>#NAME?</x:v>
      </x:c>
      <x:c r="D37" s="91" t="e">
        <x:f>C37-B37</x:f>
        <x:v>#NAME?</x:v>
      </x:c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64"/>
      <x:c r="V37" s="64"/>
      <x:c r="W37" s="64"/>
      <x:c r="X37" s="64"/>
      <x:c r="Y37" s="64"/>
      <x:c r="Z37" s="64"/>
      <x:c r="AA37" s="64"/>
      <x:c r="AB37" s="64"/>
      <x:c r="AC37" s="64"/>
      <x:c r="AD37" s="64"/>
      <x:c r="AE37" s="64"/>
      <x:c r="AF37" s="64"/>
      <x:c r="AG37" s="64"/>
      <x:c r="AH37" s="64"/>
      <x:c r="AI37" s="64"/>
      <x:c r="AJ37" s="64"/>
      <x:c r="AK37" s="64"/>
      <x:c r="AL37" s="64"/>
      <x:c r="AM37" s="64"/>
      <x:c r="AN37" s="64"/>
      <x:c r="AO37" s="64"/>
      <x:c r="AP37" s="64"/>
      <x:c r="AQ37" s="64"/>
      <x:c r="AR37" s="64"/>
      <x:c r="AS37" s="64"/>
    </x:row>
    <x:row r="38" ht="26" customHeight="1">
      <x:c r="A38" s="83"/>
      <x:c r="B38" s="83"/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83"/>
      <x:c r="N38" s="83"/>
      <x:c r="O38" s="83"/>
      <x:c r="P38" s="83"/>
      <x:c r="Q38" s="83"/>
      <x:c r="R38" s="83"/>
      <x:c r="S38" s="83"/>
      <x:c r="T38" s="83"/>
      <x:c r="U38" s="64"/>
      <x:c r="V38" s="64"/>
      <x:c r="W38" s="64"/>
      <x:c r="X38" s="64"/>
      <x:c r="Y38" s="64"/>
      <x:c r="Z38" s="64"/>
      <x:c r="AA38" s="64"/>
      <x:c r="AB38" s="64"/>
      <x:c r="AC38" s="64"/>
      <x:c r="AD38" s="64"/>
      <x:c r="AE38" s="64"/>
      <x:c r="AF38" s="64"/>
      <x:c r="AG38" s="64"/>
      <x:c r="AH38" s="64"/>
      <x:c r="AI38" s="64"/>
      <x:c r="AJ38" s="64"/>
      <x:c r="AK38" s="64"/>
      <x:c r="AL38" s="64"/>
      <x:c r="AM38" s="64"/>
      <x:c r="AN38" s="64"/>
      <x:c r="AO38" s="64"/>
      <x:c r="AP38" s="64"/>
      <x:c r="AQ38" s="64"/>
      <x:c r="AR38" s="64"/>
      <x:c r="AS38" s="64"/>
    </x:row>
    <x:row r="39" ht="24" customHeight="1">
      <x:c r="A39" s="84" t="s">
        <x:v>156</x:v>
      </x:c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64"/>
      <x:c r="V39" s="64"/>
      <x:c r="W39" s="64"/>
      <x:c r="X39" s="64"/>
      <x:c r="Y39" s="64"/>
      <x:c r="Z39" s="64"/>
      <x:c r="AA39" s="64"/>
      <x:c r="AB39" s="64"/>
      <x:c r="AC39" s="64"/>
      <x:c r="AD39" s="64"/>
      <x:c r="AE39" s="64"/>
      <x:c r="AF39" s="64"/>
      <x:c r="AG39" s="64"/>
      <x:c r="AH39" s="64"/>
      <x:c r="AI39" s="64"/>
      <x:c r="AJ39" s="64"/>
      <x:c r="AK39" s="64"/>
      <x:c r="AL39" s="64"/>
      <x:c r="AM39" s="64"/>
      <x:c r="AN39" s="64"/>
      <x:c r="AO39" s="64"/>
      <x:c r="AP39" s="64"/>
      <x:c r="AQ39" s="64"/>
      <x:c r="AR39" s="64"/>
      <x:c r="AS39" s="64"/>
    </x:row>
    <x:row r="40" ht="26" customHeight="1">
      <x:c r="A40" s="92" t="s">
        <x:v>157</x:v>
      </x:c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64"/>
      <x:c r="V40" s="64"/>
      <x:c r="W40" s="64"/>
      <x:c r="X40" s="64"/>
      <x:c r="Y40" s="64"/>
      <x:c r="Z40" s="64"/>
      <x:c r="AA40" s="64"/>
      <x:c r="AB40" s="64"/>
      <x:c r="AC40" s="64"/>
      <x:c r="AD40" s="64"/>
      <x:c r="AE40" s="64"/>
      <x:c r="AF40" s="64"/>
      <x:c r="AG40" s="64"/>
      <x:c r="AH40" s="64"/>
      <x:c r="AI40" s="64"/>
      <x:c r="AJ40" s="64"/>
      <x:c r="AK40" s="64"/>
      <x:c r="AL40" s="64"/>
      <x:c r="AM40" s="64"/>
      <x:c r="AN40" s="64"/>
      <x:c r="AO40" s="64"/>
      <x:c r="AP40" s="64"/>
      <x:c r="AQ40" s="64"/>
      <x:c r="AR40" s="64"/>
      <x:c r="AS40" s="64"/>
    </x:row>
    <x:row r="41" ht="26" customHeight="1">
      <x:c r="A41" s="92" t="s">
        <x:v>158</x:v>
      </x:c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</x:row>
    <x:row r="42" ht="26" customHeight="1">
      <x:c r="A42" s="92" t="s">
        <x:v>159</x:v>
      </x:c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</x:row>
    <x:row r="43" ht="26" customHeight="1">
      <x:c r="A43" s="92" t="s">
        <x:v>160</x:v>
      </x:c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</x:row>
    <x:row r="44" ht="26" customHeight="1">
      <x:c r="A44" s="92" t="s">
        <x:v>161</x:v>
      </x:c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</x:row>
    <x:row r="45" ht="26" customHeight="1">
      <x:c r="A45" s="92" t="s">
        <x:v>162</x:v>
      </x:c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</x:row>
    <x:row r="46" ht="26" customHeight="1">
      <x:c r="A46" s="92" t="s">
        <x:v>163</x:v>
      </x:c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</x:row>
    <x:row r="50" ht="13.899999618530273" hidden="1">
      <x:c r="A50" s="58" t="str">
        <x:f>A15</x:f>
        <x:v>早餐</x:v>
      </x:c>
      <x:c r="B50" s="94" t="e">
        <x:f>C15</x:f>
        <x:v>#NAME?</x:v>
      </x:c>
      <x:c r="C50" s="94" t="e">
        <x:f>D15</x:f>
        <x:v>#NAME?</x:v>
      </x:c>
      <x:c r="D50" s="94" t="e">
        <x:f>E15</x:f>
        <x:v>#NAME?</x:v>
      </x:c>
      <x:c r="E50" s="65" t="str">
        <x:f>F15</x:f>
        <x:v>土豆（熟）</x:v>
      </x:c>
      <x:c r="F50" s="65" t="str">
        <x:f>G15</x:f>
        <x:v>熟重</x:v>
      </x:c>
      <x:c r="G50" s="59" t="e">
        <x:f>AO50*AR50</x:f>
        <x:v>#NAME?</x:v>
      </x:c>
      <x:c r="H50" s="65" t="str">
        <x:f>I15</x:f>
        <x:v>鸡蛋</x:v>
      </x:c>
      <x:c r="I50" s="65" t="str">
        <x:f>J15</x:f>
        <x:v>生重</x:v>
      </x:c>
      <x:c r="J50" s="59" t="e">
        <x:f>AP50*AS50</x:f>
        <x:v>#NAME?</x:v>
      </x:c>
      <x:c r="K50" s="65" t="str">
        <x:f>L15</x:f>
        <x:v>橄榄油</x:v>
      </x:c>
      <x:c r="L50" s="59" t="e">
        <x:f>AQ50</x:f>
        <x:v>#NAME?</x:v>
      </x:c>
      <x:c r="M50" s="65" t="str">
        <x:f>N15</x:f>
        <x:v>胡萝卜</x:v>
      </x:c>
      <x:c r="N50" s="95" t="n">
        <x:f>O15</x:f>
        <x:v>100</x:v>
      </x:c>
      <x:c r="O50" s="59" t="e">
        <x:f>AO50*U50/100+AP50*X50/100+AQ50*AA50/100+AD50</x:f>
        <x:v>#NAME?</x:v>
      </x:c>
      <x:c r="P50" s="59" t="e">
        <x:f>AO50*V50/100+AP50*Y50/100+AQ50*AB50/100+AE50</x:f>
        <x:v>#NAME?</x:v>
      </x:c>
      <x:c r="Q50" s="59" t="e">
        <x:f>AO50*W50/100+AP50*Z50/100+AQ50*AC50/100+AF50</x:f>
        <x:v>#NAME?</x:v>
      </x:c>
      <x:c r="R50" s="68" t="e">
        <x:f>O50*4+P50*4+Q50*9</x:f>
        <x:v>#NAME?</x:v>
      </x:c>
      <x:c r="S50" s="66" t="e">
        <x:f>AN50</x:f>
        <x:v>#NAME?</x:v>
      </x:c>
      <x:c r="T50" s="56"/>
      <x:c r="U50" s="64" t="e">
        <x:f>IFERROR(VLOOKUP(E50,食物数据库V3!$B$6:$K$59,2,FALSE),0)</x:f>
        <x:v>#NAME?</x:v>
      </x:c>
      <x:c r="V50" s="64" t="e">
        <x:f>IFERROR(VLOOKUP(E50,食物数据库V3!$B$6:$K$59,3,FALSE),0)</x:f>
        <x:v>#NAME?</x:v>
      </x:c>
      <x:c r="W50" s="64" t="e">
        <x:f>IFERROR(VLOOKUP(E50,食物数据库V3!$B$6:$K$59,4,FALSE),0)</x:f>
        <x:v>#NAME?</x:v>
      </x:c>
      <x:c r="X50" s="64" t="e">
        <x:f>IF(H50="-",0,IFERROR(VLOOKUP(H50,食物数据库V3!$B$6:$K$59,2,FALSE),0))</x:f>
        <x:v>#NAME?</x:v>
      </x:c>
      <x:c r="Y50" s="64" t="e">
        <x:f>IF(H50="-",0,IFERROR(VLOOKUP(H50,食物数据库V3!$B$6:$K$59,3,FALSE),0))</x:f>
        <x:v>#NAME?</x:v>
      </x:c>
      <x:c r="Z50" s="64" t="e">
        <x:f>IF(H50="-",0,IFERROR(VLOOKUP(H50,食物数据库V3!$B$6:$K$59,4,FALSE),0))</x:f>
        <x:v>#NAME?</x:v>
      </x:c>
      <x:c r="AA50" s="64" t="e">
        <x:f>IF(K50="-",0,IFERROR(VLOOKUP(K50,食物数据库V3!$B$6:$K$59,2,FALSE),0))</x:f>
        <x:v>#NAME?</x:v>
      </x:c>
      <x:c r="AB50" s="64" t="e">
        <x:f>IF(K50="-",0,IFERROR(VLOOKUP(K50,食物数据库V3!$B$6:$K$59,3,FALSE),0))</x:f>
        <x:v>#NAME?</x:v>
      </x:c>
      <x:c r="AC50" s="64" t="e">
        <x:f>IF(K50="-",0,IFERROR(VLOOKUP(K50,食物数据库V3!$B$6:$K$59,4,FALSE),0))</x:f>
        <x:v>#NAME?</x:v>
      </x:c>
      <x:c r="AD50" s="64" t="e">
        <x:f>IF(M50="-",0,IFERROR(N50*VLOOKUP(M50,食物数据库V3!$B$6:$K$59,2,FALSE)/100,0))</x:f>
        <x:v>#NAME?</x:v>
      </x:c>
      <x:c r="AE50" s="64" t="e">
        <x:f>IF(M50="-",0,IFERROR(N50*VLOOKUP(M50,食物数据库V3!$B$6:$K$59,3,FALSE)/100,0))</x:f>
        <x:v>#NAME?</x:v>
      </x:c>
      <x:c r="AF50" s="64" t="e">
        <x:f>IF(M50="-",0,IFERROR(N50*VLOOKUP(M50,食物数据库V3!$B$6:$K$59,4,FALSE)/100,0))</x:f>
        <x:v>#NAME?</x:v>
      </x:c>
      <x:c r="AG50" s="64" t="e">
        <x:f>MAX(0,$K$4*B50-AD50)</x:f>
        <x:v>#NAME?</x:v>
      </x:c>
      <x:c r="AH50" s="64" t="e">
        <x:f>MAX(0,$N$4*C50-AE50)</x:f>
        <x:v>#NAME?</x:v>
      </x:c>
      <x:c r="AI50" s="64" t="e">
        <x:f>MAX(0,$Q$4*D50-AF50)</x:f>
        <x:v>#NAME?</x:v>
      </x:c>
      <x:c r="AJ50" s="64" t="e">
        <x:f>U50*(Y50*AC50-Z50*AB50)-X50*(V50*AC50-Z50*W50)+AA50*(V50*Z50-Y50*W50)</x:f>
        <x:v>#NAME?</x:v>
      </x:c>
      <x:c r="AK50" s="64" t="n">
        <x:f>IFERROR((AG50*(Y50*AC50-Z50*AB50)-X50*(AH50*AC50-AB50*AI50)+AA50*(AH50*Z50-Y50*AI50))/AJ50*100,0)</x:f>
        <x:v>0</x:v>
      </x:c>
      <x:c r="AL50" s="64" t="n">
        <x:f>IFERROR((U50*(AH50*AC50-AB50*AI50)-AG50*(V50*AC50-AB50*W50)+AA50*(V50*AI50-AH50*W50))/AJ50*100,0)</x:f>
        <x:v>0</x:v>
      </x:c>
      <x:c r="AM50" s="64" t="n">
        <x:f>IFERROR((U50*(Y50*AI50-AH50*Z50)-X50*(V50*AI50-AH50*W50)+AG50*(V50*Z50-Y50*W50))/AJ50*100,0)</x:f>
        <x:v>0</x:v>
      </x:c>
      <x:c r="AN50" s="64" t="e">
        <x:f>IF(AND(ABS(AJ50)&gt;0.000001,AK50&gt;=0,AL50&gt;=0,AM50&gt;=0,AK50&lt;=2000,AL50&lt;=2000,AM50&lt;=500),"精确","顺序")</x:f>
        <x:v>#NAME?</x:v>
      </x:c>
      <x:c r="AO50" s="64" t="e">
        <x:f>IF(AN50="精确",AK50,MAX(0,IFERROR(AG50/U50*100,0)))</x:f>
        <x:v>#NAME?</x:v>
      </x:c>
      <x:c r="AP50" s="64" t="e">
        <x:f>IF(AN50="精确",AL50,MAX(0,IFERROR((AH50-AO50*V50/100)/Y50*100,0)))</x:f>
        <x:v>#NAME?</x:v>
      </x:c>
      <x:c r="AQ50" s="64" t="e">
        <x:f>IF(AN50="精确",AM50,MAX(0,IFERROR((AI50-AO50*W50/100-AP50*Z50/100)/AC50*100,0)))</x:f>
        <x:v>#NAME?</x:v>
      </x:c>
      <x:c r="AR50" s="64" t="e">
        <x:f>IF(OR(F50="",F50="-",IFERROR(VLOOKUP(E50,食物数据库V3!$B$6:$K$59,7,FALSE),"无需换算")="无需换算"),1,IF(F50=IFERROR(VLOOKUP(E50,食物数据库V3!$B$6:$K$59,7,FALSE),F50),1,IF(F50="熟重",IFERROR(VLOOKUP(E50,食物数据库V3!$B$6:$K$59,9,FALSE),1),1/IFERROR(VLOOKUP(E50,食物数据库V3!$B$6:$K$59,9,FALSE),1))))</x:f>
        <x:v>#NAME?</x:v>
      </x:c>
      <x:c r="AS50" s="64" t="e">
        <x:f>IF(OR(I50="",I50="-",IFERROR(VLOOKUP(H50,食物数据库V3!$B$6:$K$59,7,FALSE),"无需换算")="无需换算"),1,IF(I50=IFERROR(VLOOKUP(H50,食物数据库V3!$B$6:$K$59,7,FALSE),I50),1,IF(I50="熟重",IFERROR(VLOOKUP(H50,食物数据库V3!$B$6:$K$59,9,FALSE),1),1/IFERROR(VLOOKUP(H50,食物数据库V3!$B$6:$K$59,9,FALSE),1))))</x:f>
        <x:v>#NAME?</x:v>
      </x:c>
    </x:row>
    <x:row r="51" ht="13.899999618530273" hidden="1">
      <x:c r="A51" s="58" t="str">
        <x:f>A19</x:f>
        <x:v>午餐</x:v>
      </x:c>
      <x:c r="B51" s="94" t="e">
        <x:f>C19</x:f>
        <x:v>#NAME?</x:v>
      </x:c>
      <x:c r="C51" s="94" t="e">
        <x:f>D19</x:f>
        <x:v>#NAME?</x:v>
      </x:c>
      <x:c r="D51" s="94" t="e">
        <x:f>E19</x:f>
        <x:v>#NAME?</x:v>
      </x:c>
      <x:c r="E51" s="65" t="str">
        <x:f>F19</x:f>
        <x:v>熟米饭</x:v>
      </x:c>
      <x:c r="F51" s="65" t="str">
        <x:f>G19</x:f>
        <x:v>熟重</x:v>
      </x:c>
      <x:c r="G51" s="59" t="e">
        <x:f>AO51*AR51</x:f>
        <x:v>#NAME?</x:v>
      </x:c>
      <x:c r="H51" s="65" t="str">
        <x:f>I19</x:f>
        <x:v>鸡胸肉（生）</x:v>
      </x:c>
      <x:c r="I51" s="65" t="str">
        <x:f>J19</x:f>
        <x:v>生重</x:v>
      </x:c>
      <x:c r="J51" s="59" t="e">
        <x:f>AP51*AS51</x:f>
        <x:v>#NAME?</x:v>
      </x:c>
      <x:c r="K51" s="65" t="str">
        <x:f>L19</x:f>
        <x:v>橄榄油</x:v>
      </x:c>
      <x:c r="L51" s="59" t="e">
        <x:f>AQ51</x:f>
        <x:v>#NAME?</x:v>
      </x:c>
      <x:c r="M51" s="65" t="str">
        <x:f>N19</x:f>
        <x:v>西兰花</x:v>
      </x:c>
      <x:c r="N51" s="95" t="n">
        <x:f>O19</x:f>
        <x:v>200</x:v>
      </x:c>
      <x:c r="O51" s="59" t="e">
        <x:f>AO51*U51/100+AP51*X51/100+AQ51*AA51/100+AD51</x:f>
        <x:v>#NAME?</x:v>
      </x:c>
      <x:c r="P51" s="59" t="e">
        <x:f>AO51*V51/100+AP51*Y51/100+AQ51*AB51/100+AE51</x:f>
        <x:v>#NAME?</x:v>
      </x:c>
      <x:c r="Q51" s="59" t="e">
        <x:f>AO51*W51/100+AP51*Z51/100+AQ51*AC51/100+AF51</x:f>
        <x:v>#NAME?</x:v>
      </x:c>
      <x:c r="R51" s="68" t="e">
        <x:f>O51*4+P51*4+Q51*9</x:f>
        <x:v>#NAME?</x:v>
      </x:c>
      <x:c r="S51" s="66" t="e">
        <x:f>AN51</x:f>
        <x:v>#NAME?</x:v>
      </x:c>
      <x:c r="T51" s="56"/>
      <x:c r="U51" s="64" t="e">
        <x:f>IFERROR(VLOOKUP(E51,食物数据库V3!$B$6:$K$59,2,FALSE),0)</x:f>
        <x:v>#NAME?</x:v>
      </x:c>
      <x:c r="V51" s="64" t="e">
        <x:f>IFERROR(VLOOKUP(E51,食物数据库V3!$B$6:$K$59,3,FALSE),0)</x:f>
        <x:v>#NAME?</x:v>
      </x:c>
      <x:c r="W51" s="64" t="e">
        <x:f>IFERROR(VLOOKUP(E51,食物数据库V3!$B$6:$K$59,4,FALSE),0)</x:f>
        <x:v>#NAME?</x:v>
      </x:c>
      <x:c r="X51" s="64" t="e">
        <x:f>IF(H51="-",0,IFERROR(VLOOKUP(H51,食物数据库V3!$B$6:$K$59,2,FALSE),0))</x:f>
        <x:v>#NAME?</x:v>
      </x:c>
      <x:c r="Y51" s="64" t="e">
        <x:f>IF(H51="-",0,IFERROR(VLOOKUP(H51,食物数据库V3!$B$6:$K$59,3,FALSE),0))</x:f>
        <x:v>#NAME?</x:v>
      </x:c>
      <x:c r="Z51" s="64" t="e">
        <x:f>IF(H51="-",0,IFERROR(VLOOKUP(H51,食物数据库V3!$B$6:$K$59,4,FALSE),0))</x:f>
        <x:v>#NAME?</x:v>
      </x:c>
      <x:c r="AA51" s="64" t="e">
        <x:f>IF(K51="-",0,IFERROR(VLOOKUP(K51,食物数据库V3!$B$6:$K$59,2,FALSE),0))</x:f>
        <x:v>#NAME?</x:v>
      </x:c>
      <x:c r="AB51" s="64" t="e">
        <x:f>IF(K51="-",0,IFERROR(VLOOKUP(K51,食物数据库V3!$B$6:$K$59,3,FALSE),0))</x:f>
        <x:v>#NAME?</x:v>
      </x:c>
      <x:c r="AC51" s="64" t="e">
        <x:f>IF(K51="-",0,IFERROR(VLOOKUP(K51,食物数据库V3!$B$6:$K$59,4,FALSE),0))</x:f>
        <x:v>#NAME?</x:v>
      </x:c>
      <x:c r="AD51" s="64" t="e">
        <x:f>IF(M51="-",0,IFERROR(N51*VLOOKUP(M51,食物数据库V3!$B$6:$K$59,2,FALSE)/100,0))</x:f>
        <x:v>#NAME?</x:v>
      </x:c>
      <x:c r="AE51" s="64" t="e">
        <x:f>IF(M51="-",0,IFERROR(N51*VLOOKUP(M51,食物数据库V3!$B$6:$K$59,3,FALSE)/100,0))</x:f>
        <x:v>#NAME?</x:v>
      </x:c>
      <x:c r="AF51" s="64" t="e">
        <x:f>IF(M51="-",0,IFERROR(N51*VLOOKUP(M51,食物数据库V3!$B$6:$K$59,4,FALSE)/100,0))</x:f>
        <x:v>#NAME?</x:v>
      </x:c>
      <x:c r="AG51" s="64" t="e">
        <x:f>MAX(0,$K$4*B51-AD51)</x:f>
        <x:v>#NAME?</x:v>
      </x:c>
      <x:c r="AH51" s="64" t="e">
        <x:f>MAX(0,$N$4*C51-AE51)</x:f>
        <x:v>#NAME?</x:v>
      </x:c>
      <x:c r="AI51" s="64" t="e">
        <x:f>MAX(0,$Q$4*D51-AF51)</x:f>
        <x:v>#NAME?</x:v>
      </x:c>
      <x:c r="AJ51" s="64" t="e">
        <x:f>U51*(Y51*AC51-Z51*AB51)-X51*(V51*AC51-Z51*W51)+AA51*(V51*Z51-Y51*W51)</x:f>
        <x:v>#NAME?</x:v>
      </x:c>
      <x:c r="AK51" s="64" t="n">
        <x:f>IFERROR((AG51*(Y51*AC51-Z51*AB51)-X51*(AH51*AC51-AB51*AI51)+AA51*(AH51*Z51-Y51*AI51))/AJ51*100,0)</x:f>
        <x:v>0</x:v>
      </x:c>
      <x:c r="AL51" s="64" t="n">
        <x:f>IFERROR((U51*(AH51*AC51-AB51*AI51)-AG51*(V51*AC51-AB51*W51)+AA51*(V51*AI51-AH51*W51))/AJ51*100,0)</x:f>
        <x:v>0</x:v>
      </x:c>
      <x:c r="AM51" s="64" t="n">
        <x:f>IFERROR((U51*(Y51*AI51-AH51*Z51)-X51*(V51*AI51-AH51*W51)+AG51*(V51*Z51-Y51*W51))/AJ51*100,0)</x:f>
        <x:v>0</x:v>
      </x:c>
      <x:c r="AN51" s="64" t="e">
        <x:f>IF(AND(ABS(AJ51)&gt;0.000001,AK51&gt;=0,AL51&gt;=0,AM51&gt;=0,AK51&lt;=2000,AL51&lt;=2000,AM51&lt;=500),"精确","顺序")</x:f>
        <x:v>#NAME?</x:v>
      </x:c>
      <x:c r="AO51" s="64" t="e">
        <x:f>IF(AN51="精确",AK51,MAX(0,IFERROR(AG51/U51*100,0)))</x:f>
        <x:v>#NAME?</x:v>
      </x:c>
      <x:c r="AP51" s="64" t="e">
        <x:f>IF(AN51="精确",AL51,MAX(0,IFERROR((AH51-AO51*V51/100)/Y51*100,0)))</x:f>
        <x:v>#NAME?</x:v>
      </x:c>
      <x:c r="AQ51" s="64" t="e">
        <x:f>IF(AN51="精确",AM51,MAX(0,IFERROR((AI51-AO51*W51/100-AP51*Z51/100)/AC51*100,0)))</x:f>
        <x:v>#NAME?</x:v>
      </x:c>
      <x:c r="AR51" s="64" t="e">
        <x:f>IF(OR(F51="",F51="-",IFERROR(VLOOKUP(E51,食物数据库V3!$B$6:$K$59,7,FALSE),"无需换算")="无需换算"),1,IF(F51=IFERROR(VLOOKUP(E51,食物数据库V3!$B$6:$K$59,7,FALSE),F51),1,IF(F51="熟重",IFERROR(VLOOKUP(E51,食物数据库V3!$B$6:$K$59,9,FALSE),1),1/IFERROR(VLOOKUP(E51,食物数据库V3!$B$6:$K$59,9,FALSE),1))))</x:f>
        <x:v>#NAME?</x:v>
      </x:c>
      <x:c r="AS51" s="64" t="e">
        <x:f>IF(OR(I51="",I51="-",IFERROR(VLOOKUP(H51,食物数据库V3!$B$6:$K$59,7,FALSE),"无需换算")="无需换算"),1,IF(I51=IFERROR(VLOOKUP(H51,食物数据库V3!$B$6:$K$59,7,FALSE),I51),1,IF(I51="熟重",IFERROR(VLOOKUP(H51,食物数据库V3!$B$6:$K$59,9,FALSE),1),1/IFERROR(VLOOKUP(H51,食物数据库V3!$B$6:$K$59,9,FALSE),1))))</x:f>
        <x:v>#NAME?</x:v>
      </x:c>
    </x:row>
    <x:row r="52" ht="13.899999618530273" hidden="1">
      <x:c r="A52" s="58" t="str">
        <x:f>A23</x:f>
        <x:v>练前餐</x:v>
      </x:c>
      <x:c r="B52" s="94" t="e">
        <x:f>C23</x:f>
        <x:v>#NAME?</x:v>
      </x:c>
      <x:c r="C52" s="94" t="e">
        <x:f>D23</x:f>
        <x:v>#NAME?</x:v>
      </x:c>
      <x:c r="D52" s="94" t="e">
        <x:f>E23</x:f>
        <x:v>#NAME?</x:v>
      </x:c>
      <x:c r="E52" s="65" t="str">
        <x:f>F23</x:f>
        <x:v>红薯（熟）</x:v>
      </x:c>
      <x:c r="F52" s="65" t="str">
        <x:f>G23</x:f>
        <x:v>熟重</x:v>
      </x:c>
      <x:c r="G52" s="59" t="e">
        <x:f>AO52*AR52</x:f>
        <x:v>#NAME?</x:v>
      </x:c>
      <x:c r="H52" s="96" t="str">
        <x:f>I23</x:f>
        <x:v>-</x:v>
      </x:c>
      <x:c r="I52" s="96" t="str">
        <x:f>J23</x:f>
        <x:v>-</x:v>
      </x:c>
      <x:c r="J52" s="59" t="n">
        <x:f>AP52*AS52</x:f>
        <x:v>0</x:v>
      </x:c>
      <x:c r="K52" s="96" t="str">
        <x:f>L23</x:f>
        <x:v>-</x:v>
      </x:c>
      <x:c r="L52" s="59" t="n">
        <x:f>AQ52</x:f>
        <x:v>0</x:v>
      </x:c>
      <x:c r="M52" s="96" t="str">
        <x:f>N23</x:f>
        <x:v>-</x:v>
      </x:c>
      <x:c r="N52" s="97" t="n">
        <x:f>O23</x:f>
        <x:v>0</x:v>
      </x:c>
      <x:c r="O52" s="59" t="e">
        <x:f>AO52*U52/100+AP52*X52/100+AQ52*AA52/100+AD52</x:f>
        <x:v>#NAME?</x:v>
      </x:c>
      <x:c r="P52" s="59" t="e">
        <x:f>AO52*V52/100+AP52*Y52/100+AQ52*AB52/100+AE52</x:f>
        <x:v>#NAME?</x:v>
      </x:c>
      <x:c r="Q52" s="59" t="e">
        <x:f>AO52*W52/100+AP52*Z52/100+AQ52*AC52/100+AF52</x:f>
        <x:v>#NAME?</x:v>
      </x:c>
      <x:c r="R52" s="68" t="e">
        <x:f>O52*4+P52*4+Q52*9</x:f>
        <x:v>#NAME?</x:v>
      </x:c>
      <x:c r="S52" s="66" t="e">
        <x:f>AN52</x:f>
        <x:v>#NAME?</x:v>
      </x:c>
      <x:c r="T52" s="56"/>
      <x:c r="U52" s="64" t="e">
        <x:f>IFERROR(VLOOKUP(E52,食物数据库V3!$B$6:$K$59,2,FALSE),0)</x:f>
        <x:v>#NAME?</x:v>
      </x:c>
      <x:c r="V52" s="64" t="e">
        <x:f>IFERROR(VLOOKUP(E52,食物数据库V3!$B$6:$K$59,3,FALSE),0)</x:f>
        <x:v>#NAME?</x:v>
      </x:c>
      <x:c r="W52" s="64" t="e">
        <x:f>IFERROR(VLOOKUP(E52,食物数据库V3!$B$6:$K$59,4,FALSE),0)</x:f>
        <x:v>#NAME?</x:v>
      </x:c>
      <x:c r="X52" s="64" t="e">
        <x:f>IF(H52="-",0,IFERROR(VLOOKUP(H52,食物数据库V3!$B$6:$K$59,2,FALSE),0))</x:f>
        <x:v>#NAME?</x:v>
      </x:c>
      <x:c r="Y52" s="64" t="e">
        <x:f>IF(H52="-",0,IFERROR(VLOOKUP(H52,食物数据库V3!$B$6:$K$59,3,FALSE),0))</x:f>
        <x:v>#NAME?</x:v>
      </x:c>
      <x:c r="Z52" s="64" t="e">
        <x:f>IF(H52="-",0,IFERROR(VLOOKUP(H52,食物数据库V3!$B$6:$K$59,4,FALSE),0))</x:f>
        <x:v>#NAME?</x:v>
      </x:c>
      <x:c r="AA52" s="64" t="e">
        <x:f>IF(K52="-",0,IFERROR(VLOOKUP(K52,食物数据库V3!$B$6:$K$59,2,FALSE),0))</x:f>
        <x:v>#NAME?</x:v>
      </x:c>
      <x:c r="AB52" s="64" t="e">
        <x:f>IF(K52="-",0,IFERROR(VLOOKUP(K52,食物数据库V3!$B$6:$K$59,3,FALSE),0))</x:f>
        <x:v>#NAME?</x:v>
      </x:c>
      <x:c r="AC52" s="64" t="e">
        <x:f>IF(K52="-",0,IFERROR(VLOOKUP(K52,食物数据库V3!$B$6:$K$59,4,FALSE),0))</x:f>
        <x:v>#NAME?</x:v>
      </x:c>
      <x:c r="AD52" s="64" t="e">
        <x:f>IF(M52="-",0,IFERROR(N52*VLOOKUP(M52,食物数据库V3!$B$6:$K$59,2,FALSE)/100,0))</x:f>
        <x:v>#NAME?</x:v>
      </x:c>
      <x:c r="AE52" s="64" t="e">
        <x:f>IF(M52="-",0,IFERROR(N52*VLOOKUP(M52,食物数据库V3!$B$6:$K$59,3,FALSE)/100,0))</x:f>
        <x:v>#NAME?</x:v>
      </x:c>
      <x:c r="AF52" s="64" t="e">
        <x:f>IF(M52="-",0,IFERROR(N52*VLOOKUP(M52,食物数据库V3!$B$6:$K$59,4,FALSE)/100,0))</x:f>
        <x:v>#NAME?</x:v>
      </x:c>
      <x:c r="AG52" s="64" t="e">
        <x:f>MAX(0,$K$4*B52-AD52)</x:f>
        <x:v>#NAME?</x:v>
      </x:c>
      <x:c r="AH52" s="64" t="e">
        <x:f>MAX(0,$N$4*C52-AE52)</x:f>
        <x:v>#NAME?</x:v>
      </x:c>
      <x:c r="AI52" s="64" t="e">
        <x:f>MAX(0,$Q$4*D52-AF52)</x:f>
        <x:v>#NAME?</x:v>
      </x:c>
      <x:c r="AJ52" s="64" t="e">
        <x:f>U52*(Y52*AC52-Z52*AB52)-X52*(V52*AC52-Z52*W52)+AA52*(V52*Z52-Y52*W52)</x:f>
        <x:v>#NAME?</x:v>
      </x:c>
      <x:c r="AK52" s="64" t="n">
        <x:f>IFERROR((AG52*(Y52*AC52-Z52*AB52)-X52*(AH52*AC52-AB52*AI52)+AA52*(AH52*Z52-Y52*AI52))/AJ52*100,0)</x:f>
        <x:v>0</x:v>
      </x:c>
      <x:c r="AL52" s="64" t="n">
        <x:f>IFERROR((U52*(AH52*AC52-AB52*AI52)-AG52*(V52*AC52-AB52*W52)+AA52*(V52*AI52-AH52*W52))/AJ52*100,0)</x:f>
        <x:v>0</x:v>
      </x:c>
      <x:c r="AM52" s="64" t="n">
        <x:f>IFERROR((U52*(Y52*AI52-AH52*Z52)-X52*(V52*AI52-AH52*W52)+AG52*(V52*Z52-Y52*W52))/AJ52*100,0)</x:f>
        <x:v>0</x:v>
      </x:c>
      <x:c r="AN52" s="64" t="e">
        <x:f>IF($E$4="是","纯碳水","不安排")</x:f>
        <x:v>#NAME?</x:v>
      </x:c>
      <x:c r="AO52" s="64" t="e">
        <x:f>IF($E$4="是",IFERROR($K$4*B52/U52*100,0),0)</x:f>
        <x:v>#NAME?</x:v>
      </x:c>
      <x:c r="AP52" s="64">
        <x:v>0</x:v>
      </x:c>
      <x:c r="AQ52" s="64">
        <x:v>0</x:v>
      </x:c>
      <x:c r="AR52" s="64" t="e">
        <x:f>IF(OR(F52="",F52="-",IFERROR(VLOOKUP(E52,食物数据库V3!$B$6:$K$59,7,FALSE),"无需换算")="无需换算"),1,IF(F52=IFERROR(VLOOKUP(E52,食物数据库V3!$B$6:$K$59,7,FALSE),F52),1,IF(F52="熟重",IFERROR(VLOOKUP(E52,食物数据库V3!$B$6:$K$59,9,FALSE),1),1/IFERROR(VLOOKUP(E52,食物数据库V3!$B$6:$K$59,9,FALSE),1))))</x:f>
        <x:v>#NAME?</x:v>
      </x:c>
      <x:c r="AS52" s="64">
        <x:v>1</x:v>
      </x:c>
    </x:row>
    <x:row r="53" ht="27.75" hidden="1">
      <x:c r="A53" s="58" t="str">
        <x:f>A27</x:f>
        <x:v>晚饭/练后餐</x:v>
      </x:c>
      <x:c r="B53" s="94" t="e">
        <x:f>C27</x:f>
        <x:v>#NAME?</x:v>
      </x:c>
      <x:c r="C53" s="94" t="e">
        <x:f>D27</x:f>
        <x:v>#NAME?</x:v>
      </x:c>
      <x:c r="D53" s="94" t="e">
        <x:f>E27</x:f>
        <x:v>#NAME?</x:v>
      </x:c>
      <x:c r="E53" s="65" t="str">
        <x:f>F27</x:f>
        <x:v>荞麦面（熟）</x:v>
      </x:c>
      <x:c r="F53" s="65" t="str">
        <x:f>G27</x:f>
        <x:v>熟重</x:v>
      </x:c>
      <x:c r="G53" s="59" t="e">
        <x:f>AO53*AR53</x:f>
        <x:v>#NAME?</x:v>
      </x:c>
      <x:c r="H53" s="65" t="str">
        <x:f>I27</x:f>
        <x:v>鸡胸肉（生）</x:v>
      </x:c>
      <x:c r="I53" s="65" t="str">
        <x:f>J27</x:f>
        <x:v>生重</x:v>
      </x:c>
      <x:c r="J53" s="59" t="e">
        <x:f>AP53*AS53</x:f>
        <x:v>#NAME?</x:v>
      </x:c>
      <x:c r="K53" s="65" t="str">
        <x:f>L27</x:f>
        <x:v>橄榄油</x:v>
      </x:c>
      <x:c r="L53" s="59" t="e">
        <x:f>AQ53</x:f>
        <x:v>#NAME?</x:v>
      </x:c>
      <x:c r="M53" s="65" t="str">
        <x:f>N27</x:f>
        <x:v>胡萝卜</x:v>
      </x:c>
      <x:c r="N53" s="95" t="n">
        <x:f>O27</x:f>
        <x:v>200</x:v>
      </x:c>
      <x:c r="O53" s="59" t="e">
        <x:f>AO53*U53/100+AP53*X53/100+AQ53*AA53/100+AD53</x:f>
        <x:v>#NAME?</x:v>
      </x:c>
      <x:c r="P53" s="59" t="e">
        <x:f>AO53*V53/100+AP53*Y53/100+AQ53*AB53/100+AE53</x:f>
        <x:v>#NAME?</x:v>
      </x:c>
      <x:c r="Q53" s="59" t="e">
        <x:f>AO53*W53/100+AP53*Z53/100+AQ53*AC53/100+AF53</x:f>
        <x:v>#NAME?</x:v>
      </x:c>
      <x:c r="R53" s="68" t="e">
        <x:f>O53*4+P53*4+Q53*9</x:f>
        <x:v>#NAME?</x:v>
      </x:c>
      <x:c r="S53" s="66" t="e">
        <x:f>AN53</x:f>
        <x:v>#NAME?</x:v>
      </x:c>
      <x:c r="T53" s="56"/>
      <x:c r="U53" s="64" t="e">
        <x:f>IFERROR(VLOOKUP(E53,食物数据库V3!$B$6:$K$59,2,FALSE),0)</x:f>
        <x:v>#NAME?</x:v>
      </x:c>
      <x:c r="V53" s="64" t="e">
        <x:f>IFERROR(VLOOKUP(E53,食物数据库V3!$B$6:$K$59,3,FALSE),0)</x:f>
        <x:v>#NAME?</x:v>
      </x:c>
      <x:c r="W53" s="64" t="e">
        <x:f>IFERROR(VLOOKUP(E53,食物数据库V3!$B$6:$K$59,4,FALSE),0)</x:f>
        <x:v>#NAME?</x:v>
      </x:c>
      <x:c r="X53" s="64" t="e">
        <x:f>IF(H53="-",0,IFERROR(VLOOKUP(H53,食物数据库V3!$B$6:$K$59,2,FALSE),0))</x:f>
        <x:v>#NAME?</x:v>
      </x:c>
      <x:c r="Y53" s="64" t="e">
        <x:f>IF(H53="-",0,IFERROR(VLOOKUP(H53,食物数据库V3!$B$6:$K$59,3,FALSE),0))</x:f>
        <x:v>#NAME?</x:v>
      </x:c>
      <x:c r="Z53" s="64" t="e">
        <x:f>IF(H53="-",0,IFERROR(VLOOKUP(H53,食物数据库V3!$B$6:$K$59,4,FALSE),0))</x:f>
        <x:v>#NAME?</x:v>
      </x:c>
      <x:c r="AA53" s="64" t="e">
        <x:f>IF(K53="-",0,IFERROR(VLOOKUP(K53,食物数据库V3!$B$6:$K$59,2,FALSE),0))</x:f>
        <x:v>#NAME?</x:v>
      </x:c>
      <x:c r="AB53" s="64" t="e">
        <x:f>IF(K53="-",0,IFERROR(VLOOKUP(K53,食物数据库V3!$B$6:$K$59,3,FALSE),0))</x:f>
        <x:v>#NAME?</x:v>
      </x:c>
      <x:c r="AC53" s="64" t="e">
        <x:f>IF(K53="-",0,IFERROR(VLOOKUP(K53,食物数据库V3!$B$6:$K$59,4,FALSE),0))</x:f>
        <x:v>#NAME?</x:v>
      </x:c>
      <x:c r="AD53" s="64" t="e">
        <x:f>IF(M53="-",0,IFERROR(N53*VLOOKUP(M53,食物数据库V3!$B$6:$K$59,2,FALSE)/100,0))</x:f>
        <x:v>#NAME?</x:v>
      </x:c>
      <x:c r="AE53" s="64" t="e">
        <x:f>IF(M53="-",0,IFERROR(N53*VLOOKUP(M53,食物数据库V3!$B$6:$K$59,3,FALSE)/100,0))</x:f>
        <x:v>#NAME?</x:v>
      </x:c>
      <x:c r="AF53" s="64" t="e">
        <x:f>IF(M53="-",0,IFERROR(N53*VLOOKUP(M53,食物数据库V3!$B$6:$K$59,4,FALSE)/100,0))</x:f>
        <x:v>#NAME?</x:v>
      </x:c>
      <x:c r="AG53" s="64" t="e">
        <x:f>MAX(0,$K$4*B53-AD53)</x:f>
        <x:v>#NAME?</x:v>
      </x:c>
      <x:c r="AH53" s="64" t="e">
        <x:f>MAX(0,$N$4*C53-AE53)</x:f>
        <x:v>#NAME?</x:v>
      </x:c>
      <x:c r="AI53" s="64" t="e">
        <x:f>MAX(0,$Q$4*D53-AF53)</x:f>
        <x:v>#NAME?</x:v>
      </x:c>
      <x:c r="AJ53" s="64" t="e">
        <x:f>U53*(Y53*AC53-Z53*AB53)-X53*(V53*AC53-Z53*W53)+AA53*(V53*Z53-Y53*W53)</x:f>
        <x:v>#NAME?</x:v>
      </x:c>
      <x:c r="AK53" s="64" t="n">
        <x:f>IFERROR((AG53*(Y53*AC53-Z53*AB53)-X53*(AH53*AC53-AB53*AI53)+AA53*(AH53*Z53-Y53*AI53))/AJ53*100,0)</x:f>
        <x:v>0</x:v>
      </x:c>
      <x:c r="AL53" s="64" t="n">
        <x:f>IFERROR((U53*(AH53*AC53-AB53*AI53)-AG53*(V53*AC53-AB53*W53)+AA53*(V53*AI53-AH53*W53))/AJ53*100,0)</x:f>
        <x:v>0</x:v>
      </x:c>
      <x:c r="AM53" s="64" t="n">
        <x:f>IFERROR((U53*(Y53*AI53-AH53*Z53)-X53*(V53*AI53-AH53*W53)+AG53*(V53*Z53-Y53*W53))/AJ53*100,0)</x:f>
        <x:v>0</x:v>
      </x:c>
      <x:c r="AN53" s="64" t="e">
        <x:f>IF(AND(ABS(AJ53)&gt;0.000001,AK53&gt;=0,AL53&gt;=0,AM53&gt;=0,AK53&lt;=2000,AL53&lt;=2000,AM53&lt;=500),"精确","顺序")</x:f>
        <x:v>#NAME?</x:v>
      </x:c>
      <x:c r="AO53" s="64" t="e">
        <x:f>IF(AN53="精确",AK53,MAX(0,IFERROR(AG53/U53*100,0)))</x:f>
        <x:v>#NAME?</x:v>
      </x:c>
      <x:c r="AP53" s="64" t="e">
        <x:f>IF(AN53="精确",AL53,MAX(0,IFERROR((AH53-AO53*V53/100)/Y53*100,0)))</x:f>
        <x:v>#NAME?</x:v>
      </x:c>
      <x:c r="AQ53" s="64" t="e">
        <x:f>IF(AN53="精确",AM53,MAX(0,IFERROR((AI53-AO53*W53/100-AP53*Z53/100)/AC53*100,0)))</x:f>
        <x:v>#NAME?</x:v>
      </x:c>
      <x:c r="AR53" s="64" t="e">
        <x:f>IF(OR(F53="",F53="-",IFERROR(VLOOKUP(E53,食物数据库V3!$B$6:$K$59,7,FALSE),"无需换算")="无需换算"),1,IF(F53=IFERROR(VLOOKUP(E53,食物数据库V3!$B$6:$K$59,7,FALSE),F53),1,IF(F53="熟重",IFERROR(VLOOKUP(E53,食物数据库V3!$B$6:$K$59,9,FALSE),1),1/IFERROR(VLOOKUP(E53,食物数据库V3!$B$6:$K$59,9,FALSE),1))))</x:f>
        <x:v>#NAME?</x:v>
      </x:c>
      <x:c r="AS53" s="64" t="e">
        <x:f>IF(OR(I53="",I53="-",IFERROR(VLOOKUP(H53,食物数据库V3!$B$6:$K$59,7,FALSE),"无需换算")="无需换算"),1,IF(I53=IFERROR(VLOOKUP(H53,食物数据库V3!$B$6:$K$59,7,FALSE),I53),1,IF(I53="熟重",IFERROR(VLOOKUP(H53,食物数据库V3!$B$6:$K$59,9,FALSE),1),1/IFERROR(VLOOKUP(H53,食物数据库V3!$B$6:$K$59,9,FALSE),1))))</x:f>
        <x:v>#NAME?</x:v>
      </x:c>
    </x:row>
    <x:row r="54" hidden="1"/>
    <x:row r="55" hidden="1"/>
    <x:row r="56" hidden="1"/>
    <x:row r="57" hidden="1"/>
    <x:row r="58" ht="15.75" hidden="1">
      <x:c r="A58" s="57" t="s">
        <x:v>164</x:v>
      </x:c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</x:row>
    <x:row r="59" ht="14.649999618530273" hidden="1">
      <x:c r="A59" s="16" t="s">
        <x:v>69</x:v>
      </x:c>
      <x:c r="B59" s="16" t="s">
        <x:v>165</x:v>
      </x:c>
      <x:c r="C59" s="16" t="s">
        <x:v>166</x:v>
      </x:c>
      <x:c r="D59" s="16" t="s">
        <x:v>167</x:v>
      </x:c>
      <x:c r="E59" s="16" t="s">
        <x:v>166</x:v>
      </x:c>
      <x:c r="F59" s="16" t="s">
        <x:v>168</x:v>
      </x:c>
      <x:c r="G59" s="16" t="s">
        <x:v>166</x:v>
      </x:c>
      <x:c r="H59" s="16" t="s">
        <x:v>169</x:v>
      </x:c>
      <x:c r="I59" s="16" t="s">
        <x:v>166</x:v>
      </x:c>
      <x:c r="J59" s="16" t="s">
        <x:v>170</x:v>
      </x:c>
      <x:c r="K59" s="16" t="s">
        <x:v>166</x:v>
      </x:c>
      <x:c r="L59" s="16" t="s">
        <x:v>171</x:v>
      </x:c>
      <x:c r="M59" s="16" t="s">
        <x:v>166</x:v>
      </x:c>
      <x:c r="N59" s="16" t="s">
        <x:v>172</x:v>
      </x:c>
      <x:c r="O59" s="16" t="s">
        <x:v>166</x:v>
      </x:c>
      <x:c r="P59" s="16" t="s">
        <x:v>173</x:v>
      </x:c>
      <x:c r="Q59" s="16" t="s">
        <x:v>166</x:v>
      </x:c>
      <x:c r="R59" s="16" t="s">
        <x:v>174</x:v>
      </x:c>
      <x:c r="S59" s="16" t="s">
        <x:v>166</x:v>
      </x:c>
      <x:c r="T59" s="56"/>
    </x:row>
    <x:row r="60" ht="27.75" hidden="1">
      <x:c r="A60" s="58" t="s">
        <x:v>74</x:v>
      </x:c>
      <x:c r="B60" s="65" t="str">
        <x:f>F16</x:f>
        <x:v>燕麦（干）</x:v>
      </x:c>
      <x:c r="C60" s="59" t="e">
        <x:f>IFERROR(($AO$50*$U$50/100)/VLOOKUP(B60,食物数据库V3!$B$6:$K$59,2,FALSE)*100*IF(IFERROR(VLOOKUP(B60,食物数据库V3!$B$6:$K$59,7,FALSE),"无需换算")="无需换算",1,IF(IFERROR(VLOOKUP(B60,食物数据库V3!$B$6:$K$59,8,FALSE),IFERROR(VLOOKUP(B60,食物数据库V3!$B$6:$K$59,7,FALSE),"熟重"))=IFERROR(VLOOKUP(B60,食物数据库V3!$B$6:$K$59,7,FALSE),"熟重"),1,IF(IFERROR(VLOOKUP(B60,食物数据库V3!$B$6:$K$59,8,FALSE),"熟重")="熟重",IFERROR(VLOOKUP(B60,食物数据库V3!$B$6:$K$59,9,FALSE),1),1/IFERROR(VLOOKUP(B60,食物数据库V3!$B$6:$K$59,9,FALSE),1)))),0)</x:f>
        <x:v>#NAME?</x:v>
      </x:c>
      <x:c r="D60" s="65" t="str">
        <x:f>F17</x:f>
        <x:v>全麦面包</x:v>
      </x:c>
      <x:c r="E60" s="59" t="e">
        <x:f>IFERROR(($AO$50*$U$50/100)/VLOOKUP(D60,食物数据库V3!$B$6:$K$59,2,FALSE)*100*IF(IFERROR(VLOOKUP(D60,食物数据库V3!$B$6:$K$59,7,FALSE),"无需换算")="无需换算",1,IF(IFERROR(VLOOKUP(D60,食物数据库V3!$B$6:$K$59,8,FALSE),IFERROR(VLOOKUP(D60,食物数据库V3!$B$6:$K$59,7,FALSE),"熟重"))=IFERROR(VLOOKUP(D60,食物数据库V3!$B$6:$K$59,7,FALSE),"熟重"),1,IF(IFERROR(VLOOKUP(D60,食物数据库V3!$B$6:$K$59,8,FALSE),"熟重")="熟重",IFERROR(VLOOKUP(D60,食物数据库V3!$B$6:$K$59,9,FALSE),1),1/IFERROR(VLOOKUP(D60,食物数据库V3!$B$6:$K$59,9,FALSE),1)))),0)</x:f>
        <x:v>#NAME?</x:v>
      </x:c>
      <x:c r="F60" s="65" t="str">
        <x:f>F18</x:f>
        <x:v>熟米饭</x:v>
      </x:c>
      <x:c r="G60" s="59" t="e">
        <x:f>IFERROR(($AO$50*$U$50/100)/VLOOKUP(F60,食物数据库V3!$B$6:$K$59,2,FALSE)*100*IF(IFERROR(VLOOKUP(F60,食物数据库V3!$B$6:$K$59,7,FALSE),"无需换算")="无需换算",1,IF(IFERROR(VLOOKUP(F60,食物数据库V3!$B$6:$K$59,8,FALSE),IFERROR(VLOOKUP(F60,食物数据库V3!$B$6:$K$59,7,FALSE),"熟重"))=IFERROR(VLOOKUP(F60,食物数据库V3!$B$6:$K$59,7,FALSE),"熟重"),1,IF(IFERROR(VLOOKUP(F60,食物数据库V3!$B$6:$K$59,8,FALSE),"熟重")="熟重",IFERROR(VLOOKUP(F60,食物数据库V3!$B$6:$K$59,9,FALSE),1),1/IFERROR(VLOOKUP(F60,食物数据库V3!$B$6:$K$59,9,FALSE),1)))),0)</x:f>
        <x:v>#NAME?</x:v>
      </x:c>
      <x:c r="H60" s="65" t="str">
        <x:f>I16</x:f>
        <x:v>脱脂牛奶</x:v>
      </x:c>
      <x:c r="I60" s="59" t="e">
        <x:f>IFERROR(($AP$50*$Y$50/100)/VLOOKUP(H60,食物数据库V3!$B$6:$K$59,3,FALSE)*100*IF(IFERROR(VLOOKUP(H60,食物数据库V3!$B$6:$K$59,7,FALSE),"无需换算")="无需换算",1,IF(IFERROR(VLOOKUP(H60,食物数据库V3!$B$6:$K$59,8,FALSE),IFERROR(VLOOKUP(H60,食物数据库V3!$B$6:$K$59,7,FALSE),"熟重"))=IFERROR(VLOOKUP(H60,食物数据库V3!$B$6:$K$59,7,FALSE),"熟重"),1,IF(IFERROR(VLOOKUP(H60,食物数据库V3!$B$6:$K$59,8,FALSE),"熟重")="熟重",IFERROR(VLOOKUP(H60,食物数据库V3!$B$6:$K$59,9,FALSE),1),1/IFERROR(VLOOKUP(H60,食物数据库V3!$B$6:$K$59,9,FALSE),1)))),0)</x:f>
        <x:v>#NAME?</x:v>
      </x:c>
      <x:c r="J60" s="65" t="str">
        <x:f>I17</x:f>
        <x:v>希腊酸奶（低脂）</x:v>
      </x:c>
      <x:c r="K60" s="59" t="e">
        <x:f>IFERROR(($AP$50*$Y$50/100)/VLOOKUP(J60,食物数据库V3!$B$6:$K$59,3,FALSE)*100*IF(IFERROR(VLOOKUP(J60,食物数据库V3!$B$6:$K$59,7,FALSE),"无需换算")="无需换算",1,IF(IFERROR(VLOOKUP(J60,食物数据库V3!$B$6:$K$59,8,FALSE),IFERROR(VLOOKUP(J60,食物数据库V3!$B$6:$K$59,7,FALSE),"熟重"))=IFERROR(VLOOKUP(J60,食物数据库V3!$B$6:$K$59,7,FALSE),"熟重"),1,IF(IFERROR(VLOOKUP(J60,食物数据库V3!$B$6:$K$59,8,FALSE),"熟重")="熟重",IFERROR(VLOOKUP(J60,食物数据库V3!$B$6:$K$59,9,FALSE),1),1/IFERROR(VLOOKUP(J60,食物数据库V3!$B$6:$K$59,9,FALSE),1)))),0)</x:f>
        <x:v>#NAME?</x:v>
      </x:c>
      <x:c r="L60" s="65" t="n">
        <x:f>I18</x:f>
        <x:v>0</x:v>
      </x:c>
      <x:c r="M60" s="59" t="e">
        <x:f>IFERROR(($AP$50*$Y$50/100)/VLOOKUP(L60,食物数据库V3!$B$6:$K$59,3,FALSE)*100*IF(IFERROR(VLOOKUP(L60,食物数据库V3!$B$6:$K$59,7,FALSE),"无需换算")="无需换算",1,IF(IFERROR(VLOOKUP(L60,食物数据库V3!$B$6:$K$59,8,FALSE),IFERROR(VLOOKUP(L60,食物数据库V3!$B$6:$K$59,7,FALSE),"熟重"))=IFERROR(VLOOKUP(L60,食物数据库V3!$B$6:$K$59,7,FALSE),"熟重"),1,IF(IFERROR(VLOOKUP(L60,食物数据库V3!$B$6:$K$59,8,FALSE),"熟重")="熟重",IFERROR(VLOOKUP(L60,食物数据库V3!$B$6:$K$59,9,FALSE),1),1/IFERROR(VLOOKUP(L60,食物数据库V3!$B$6:$K$59,9,FALSE),1)))),0)</x:f>
        <x:v>#NAME?</x:v>
      </x:c>
      <x:c r="N60" s="65" t="str">
        <x:f>L16</x:f>
        <x:v>腰果</x:v>
      </x:c>
      <x:c r="O60" s="59" t="e">
        <x:f>IFERROR(($AQ$50*$AC$50/100)/VLOOKUP(N60,食物数据库V3!$B$6:$K$59,4,FALSE)*100*IF(IFERROR(VLOOKUP(N60,食物数据库V3!$B$6:$K$59,7,FALSE),"无需换算")="无需换算",1,IF(IFERROR(VLOOKUP(N60,食物数据库V3!$B$6:$K$59,8,FALSE),IFERROR(VLOOKUP(N60,食物数据库V3!$B$6:$K$59,7,FALSE),"熟重"))=IFERROR(VLOOKUP(N60,食物数据库V3!$B$6:$K$59,7,FALSE),"熟重"),1,IF(IFERROR(VLOOKUP(N60,食物数据库V3!$B$6:$K$59,8,FALSE),"熟重")="熟重",IFERROR(VLOOKUP(N60,食物数据库V3!$B$6:$K$59,9,FALSE),1),1/IFERROR(VLOOKUP(N60,食物数据库V3!$B$6:$K$59,9,FALSE),1)))),0)</x:f>
        <x:v>#NAME?</x:v>
      </x:c>
      <x:c r="P60" s="65" t="str">
        <x:f>L17</x:f>
        <x:v>杏仁</x:v>
      </x:c>
      <x:c r="Q60" s="59" t="e">
        <x:f>IFERROR(($AQ$50*$AC$50/100)/VLOOKUP(P60,食物数据库V3!$B$6:$K$59,4,FALSE)*100*IF(IFERROR(VLOOKUP(P60,食物数据库V3!$B$6:$K$59,7,FALSE),"无需换算")="无需换算",1,IF(IFERROR(VLOOKUP(P60,食物数据库V3!$B$6:$K$59,8,FALSE),IFERROR(VLOOKUP(P60,食物数据库V3!$B$6:$K$59,7,FALSE),"熟重"))=IFERROR(VLOOKUP(P60,食物数据库V3!$B$6:$K$59,7,FALSE),"熟重"),1,IF(IFERROR(VLOOKUP(P60,食物数据库V3!$B$6:$K$59,8,FALSE),"熟重")="熟重",IFERROR(VLOOKUP(P60,食物数据库V3!$B$6:$K$59,9,FALSE),1),1/IFERROR(VLOOKUP(P60,食物数据库V3!$B$6:$K$59,9,FALSE),1)))),0)</x:f>
        <x:v>#NAME?</x:v>
      </x:c>
      <x:c r="R60" s="65" t="str">
        <x:f>L18</x:f>
        <x:v>花生酱</x:v>
      </x:c>
      <x:c r="S60" s="59" t="e">
        <x:f>IFERROR(($AQ$50*$AC$50/100)/VLOOKUP(R60,食物数据库V3!$B$6:$K$59,4,FALSE)*100*IF(IFERROR(VLOOKUP(R60,食物数据库V3!$B$6:$K$59,7,FALSE),"无需换算")="无需换算",1,IF(IFERROR(VLOOKUP(R60,食物数据库V3!$B$6:$K$59,8,FALSE),IFERROR(VLOOKUP(R60,食物数据库V3!$B$6:$K$59,7,FALSE),"熟重"))=IFERROR(VLOOKUP(R60,食物数据库V3!$B$6:$K$59,7,FALSE),"熟重"),1,IF(IFERROR(VLOOKUP(R60,食物数据库V3!$B$6:$K$59,8,FALSE),"熟重")="熟重",IFERROR(VLOOKUP(R60,食物数据库V3!$B$6:$K$59,9,FALSE),1),1/IFERROR(VLOOKUP(R60,食物数据库V3!$B$6:$K$59,9,FALSE),1)))),0)</x:f>
        <x:v>#NAME?</x:v>
      </x:c>
      <x:c r="T60" s="56"/>
    </x:row>
    <x:row r="61" ht="13.899999618530273" hidden="1">
      <x:c r="A61" s="58" t="s">
        <x:v>76</x:v>
      </x:c>
      <x:c r="B61" s="65" t="str">
        <x:f>F20</x:f>
        <x:v>熟米饭</x:v>
      </x:c>
      <x:c r="C61" s="59" t="e">
        <x:f>IFERROR(($AO$51*$U$51/100)/VLOOKUP(B61,食物数据库V3!$B$6:$K$59,2,FALSE)*100*IF(IFERROR(VLOOKUP(B61,食物数据库V3!$B$6:$K$59,7,FALSE),"无需换算")="无需换算",1,IF(IFERROR(VLOOKUP(B61,食物数据库V3!$B$6:$K$59,8,FALSE),IFERROR(VLOOKUP(B61,食物数据库V3!$B$6:$K$59,7,FALSE),"熟重"))=IFERROR(VLOOKUP(B61,食物数据库V3!$B$6:$K$59,7,FALSE),"熟重"),1,IF(IFERROR(VLOOKUP(B61,食物数据库V3!$B$6:$K$59,8,FALSE),"熟重")="熟重",IFERROR(VLOOKUP(B61,食物数据库V3!$B$6:$K$59,9,FALSE),1),1/IFERROR(VLOOKUP(B61,食物数据库V3!$B$6:$K$59,9,FALSE),1)))),0)</x:f>
        <x:v>#NAME?</x:v>
      </x:c>
      <x:c r="D61" s="65" t="str">
        <x:f>F21</x:f>
        <x:v>土豆（熟）</x:v>
      </x:c>
      <x:c r="E61" s="59" t="e">
        <x:f>IFERROR(($AO$51*$U$51/100)/VLOOKUP(D61,食物数据库V3!$B$6:$K$59,2,FALSE)*100*IF(IFERROR(VLOOKUP(D61,食物数据库V3!$B$6:$K$59,7,FALSE),"无需换算")="无需换算",1,IF(IFERROR(VLOOKUP(D61,食物数据库V3!$B$6:$K$59,8,FALSE),IFERROR(VLOOKUP(D61,食物数据库V3!$B$6:$K$59,7,FALSE),"熟重"))=IFERROR(VLOOKUP(D61,食物数据库V3!$B$6:$K$59,7,FALSE),"熟重"),1,IF(IFERROR(VLOOKUP(D61,食物数据库V3!$B$6:$K$59,8,FALSE),"熟重")="熟重",IFERROR(VLOOKUP(D61,食物数据库V3!$B$6:$K$59,9,FALSE),1),1/IFERROR(VLOOKUP(D61,食物数据库V3!$B$6:$K$59,9,FALSE),1)))),0)</x:f>
        <x:v>#NAME?</x:v>
      </x:c>
      <x:c r="F61" s="65" t="str">
        <x:f>F22</x:f>
        <x:v>红薯（熟）</x:v>
      </x:c>
      <x:c r="G61" s="59" t="e">
        <x:f>IFERROR(($AO$51*$U$51/100)/VLOOKUP(F61,食物数据库V3!$B$6:$K$59,2,FALSE)*100*IF(IFERROR(VLOOKUP(F61,食物数据库V3!$B$6:$K$59,7,FALSE),"无需换算")="无需换算",1,IF(IFERROR(VLOOKUP(F61,食物数据库V3!$B$6:$K$59,8,FALSE),IFERROR(VLOOKUP(F61,食物数据库V3!$B$6:$K$59,7,FALSE),"熟重"))=IFERROR(VLOOKUP(F61,食物数据库V3!$B$6:$K$59,7,FALSE),"熟重"),1,IF(IFERROR(VLOOKUP(F61,食物数据库V3!$B$6:$K$59,8,FALSE),"熟重")="熟重",IFERROR(VLOOKUP(F61,食物数据库V3!$B$6:$K$59,9,FALSE),1),1/IFERROR(VLOOKUP(F61,食物数据库V3!$B$6:$K$59,9,FALSE),1)))),0)</x:f>
        <x:v>#NAME?</x:v>
      </x:c>
      <x:c r="H61" s="65" t="str">
        <x:f>I20</x:f>
        <x:v>鸡胸肉（生）</x:v>
      </x:c>
      <x:c r="I61" s="59" t="e">
        <x:f>IFERROR(($AP$51*$Y$51/100)/VLOOKUP(H61,食物数据库V3!$B$6:$K$59,3,FALSE)*100*IF(IFERROR(VLOOKUP(H61,食物数据库V3!$B$6:$K$59,7,FALSE),"无需换算")="无需换算",1,IF(IFERROR(VLOOKUP(H61,食物数据库V3!$B$6:$K$59,8,FALSE),IFERROR(VLOOKUP(H61,食物数据库V3!$B$6:$K$59,7,FALSE),"熟重"))=IFERROR(VLOOKUP(H61,食物数据库V3!$B$6:$K$59,7,FALSE),"熟重"),1,IF(IFERROR(VLOOKUP(H61,食物数据库V3!$B$6:$K$59,8,FALSE),"熟重")="熟重",IFERROR(VLOOKUP(H61,食物数据库V3!$B$6:$K$59,9,FALSE),1),1/IFERROR(VLOOKUP(H61,食物数据库V3!$B$6:$K$59,9,FALSE),1)))),0)</x:f>
        <x:v>#NAME?</x:v>
      </x:c>
      <x:c r="J61" s="65" t="str">
        <x:f>I21</x:f>
        <x:v>虾仁</x:v>
      </x:c>
      <x:c r="K61" s="59" t="e">
        <x:f>IFERROR(($AP$51*$Y$51/100)/VLOOKUP(J61,食物数据库V3!$B$6:$K$59,3,FALSE)*100*IF(IFERROR(VLOOKUP(J61,食物数据库V3!$B$6:$K$59,7,FALSE),"无需换算")="无需换算",1,IF(IFERROR(VLOOKUP(J61,食物数据库V3!$B$6:$K$59,8,FALSE),IFERROR(VLOOKUP(J61,食物数据库V3!$B$6:$K$59,7,FALSE),"熟重"))=IFERROR(VLOOKUP(J61,食物数据库V3!$B$6:$K$59,7,FALSE),"熟重"),1,IF(IFERROR(VLOOKUP(J61,食物数据库V3!$B$6:$K$59,8,FALSE),"熟重")="熟重",IFERROR(VLOOKUP(J61,食物数据库V3!$B$6:$K$59,9,FALSE),1),1/IFERROR(VLOOKUP(J61,食物数据库V3!$B$6:$K$59,9,FALSE),1)))),0)</x:f>
        <x:v>#NAME?</x:v>
      </x:c>
      <x:c r="L61" s="65" t="str">
        <x:f>I22</x:f>
        <x:v>金枪鱼（水浸）</x:v>
      </x:c>
      <x:c r="M61" s="59" t="e">
        <x:f>IFERROR(($AP$51*$Y$51/100)/VLOOKUP(L61,食物数据库V3!$B$6:$K$59,3,FALSE)*100*IF(IFERROR(VLOOKUP(L61,食物数据库V3!$B$6:$K$59,7,FALSE),"无需换算")="无需换算",1,IF(IFERROR(VLOOKUP(L61,食物数据库V3!$B$6:$K$59,8,FALSE),IFERROR(VLOOKUP(L61,食物数据库V3!$B$6:$K$59,7,FALSE),"熟重"))=IFERROR(VLOOKUP(L61,食物数据库V3!$B$6:$K$59,7,FALSE),"熟重"),1,IF(IFERROR(VLOOKUP(L61,食物数据库V3!$B$6:$K$59,8,FALSE),"熟重")="熟重",IFERROR(VLOOKUP(L61,食物数据库V3!$B$6:$K$59,9,FALSE),1),1/IFERROR(VLOOKUP(L61,食物数据库V3!$B$6:$K$59,9,FALSE),1)))),0)</x:f>
        <x:v>#NAME?</x:v>
      </x:c>
      <x:c r="N61" s="65" t="str">
        <x:f>L20</x:f>
        <x:v>橄榄油</x:v>
      </x:c>
      <x:c r="O61" s="59" t="e">
        <x:f>IFERROR(($AQ$51*$AC$51/100)/VLOOKUP(N61,食物数据库V3!$B$6:$K$59,4,FALSE)*100*IF(IFERROR(VLOOKUP(N61,食物数据库V3!$B$6:$K$59,7,FALSE),"无需换算")="无需换算",1,IF(IFERROR(VLOOKUP(N61,食物数据库V3!$B$6:$K$59,8,FALSE),IFERROR(VLOOKUP(N61,食物数据库V3!$B$6:$K$59,7,FALSE),"熟重"))=IFERROR(VLOOKUP(N61,食物数据库V3!$B$6:$K$59,7,FALSE),"熟重"),1,IF(IFERROR(VLOOKUP(N61,食物数据库V3!$B$6:$K$59,8,FALSE),"熟重")="熟重",IFERROR(VLOOKUP(N61,食物数据库V3!$B$6:$K$59,9,FALSE),1),1/IFERROR(VLOOKUP(N61,食物数据库V3!$B$6:$K$59,9,FALSE),1)))),0)</x:f>
        <x:v>#NAME?</x:v>
      </x:c>
      <x:c r="P61" s="65" t="str">
        <x:f>L21</x:f>
        <x:v>腰果</x:v>
      </x:c>
      <x:c r="Q61" s="59" t="e">
        <x:f>IFERROR(($AQ$51*$AC$51/100)/VLOOKUP(P61,食物数据库V3!$B$6:$K$59,4,FALSE)*100*IF(IFERROR(VLOOKUP(P61,食物数据库V3!$B$6:$K$59,7,FALSE),"无需换算")="无需换算",1,IF(IFERROR(VLOOKUP(P61,食物数据库V3!$B$6:$K$59,8,FALSE),IFERROR(VLOOKUP(P61,食物数据库V3!$B$6:$K$59,7,FALSE),"熟重"))=IFERROR(VLOOKUP(P61,食物数据库V3!$B$6:$K$59,7,FALSE),"熟重"),1,IF(IFERROR(VLOOKUP(P61,食物数据库V3!$B$6:$K$59,8,FALSE),"熟重")="熟重",IFERROR(VLOOKUP(P61,食物数据库V3!$B$6:$K$59,9,FALSE),1),1/IFERROR(VLOOKUP(P61,食物数据库V3!$B$6:$K$59,9,FALSE),1)))),0)</x:f>
        <x:v>#NAME?</x:v>
      </x:c>
      <x:c r="R61" s="65" t="str">
        <x:f>L22</x:f>
        <x:v>牛油果</x:v>
      </x:c>
      <x:c r="S61" s="59" t="e">
        <x:f>IFERROR(($AQ$51*$AC$51/100)/VLOOKUP(R61,食物数据库V3!$B$6:$K$59,4,FALSE)*100*IF(IFERROR(VLOOKUP(R61,食物数据库V3!$B$6:$K$59,7,FALSE),"无需换算")="无需换算",1,IF(IFERROR(VLOOKUP(R61,食物数据库V3!$B$6:$K$59,8,FALSE),IFERROR(VLOOKUP(R61,食物数据库V3!$B$6:$K$59,7,FALSE),"熟重"))=IFERROR(VLOOKUP(R61,食物数据库V3!$B$6:$K$59,7,FALSE),"熟重"),1,IF(IFERROR(VLOOKUP(R61,食物数据库V3!$B$6:$K$59,8,FALSE),"熟重")="熟重",IFERROR(VLOOKUP(R61,食物数据库V3!$B$6:$K$59,9,FALSE),1),1/IFERROR(VLOOKUP(R61,食物数据库V3!$B$6:$K$59,9,FALSE),1)))),0)</x:f>
        <x:v>#NAME?</x:v>
      </x:c>
      <x:c r="T61" s="56"/>
    </x:row>
    <x:row r="62" ht="13.899999618530273" hidden="1">
      <x:c r="A62" s="58" t="s">
        <x:v>78</x:v>
      </x:c>
      <x:c r="B62" s="65" t="str">
        <x:f>F24</x:f>
        <x:v>红薯（熟）</x:v>
      </x:c>
      <x:c r="C62" s="59" t="e">
        <x:f>IFERROR(($AO$52*$U$52/100)/VLOOKUP(B62,食物数据库V3!$B$6:$K$59,2,FALSE)*100*IF(IFERROR(VLOOKUP(B62,食物数据库V3!$B$6:$K$59,7,FALSE),"无需换算")="无需换算",1,IF(IFERROR(VLOOKUP(B62,食物数据库V3!$B$6:$K$59,8,FALSE),IFERROR(VLOOKUP(B62,食物数据库V3!$B$6:$K$59,7,FALSE),"熟重"))=IFERROR(VLOOKUP(B62,食物数据库V3!$B$6:$K$59,7,FALSE),"熟重"),1,IF(IFERROR(VLOOKUP(B62,食物数据库V3!$B$6:$K$59,8,FALSE),"熟重")="熟重",IFERROR(VLOOKUP(B62,食物数据库V3!$B$6:$K$59,9,FALSE),1),1/IFERROR(VLOOKUP(B62,食物数据库V3!$B$6:$K$59,9,FALSE),1)))),0)</x:f>
        <x:v>#NAME?</x:v>
      </x:c>
      <x:c r="D62" s="65" t="str">
        <x:f>F25</x:f>
        <x:v>土豆（熟）</x:v>
      </x:c>
      <x:c r="E62" s="59" t="e">
        <x:f>IFERROR(($AO$52*$U$52/100)/VLOOKUP(D62,食物数据库V3!$B$6:$K$59,2,FALSE)*100*IF(IFERROR(VLOOKUP(D62,食物数据库V3!$B$6:$K$59,7,FALSE),"无需换算")="无需换算",1,IF(IFERROR(VLOOKUP(D62,食物数据库V3!$B$6:$K$59,8,FALSE),IFERROR(VLOOKUP(D62,食物数据库V3!$B$6:$K$59,7,FALSE),"熟重"))=IFERROR(VLOOKUP(D62,食物数据库V3!$B$6:$K$59,7,FALSE),"熟重"),1,IF(IFERROR(VLOOKUP(D62,食物数据库V3!$B$6:$K$59,8,FALSE),"熟重")="熟重",IFERROR(VLOOKUP(D62,食物数据库V3!$B$6:$K$59,9,FALSE),1),1/IFERROR(VLOOKUP(D62,食物数据库V3!$B$6:$K$59,9,FALSE),1)))),0)</x:f>
        <x:v>#NAME?</x:v>
      </x:c>
      <x:c r="F62" s="65" t="str">
        <x:f>F26</x:f>
        <x:v>熟米饭</x:v>
      </x:c>
      <x:c r="G62" s="59" t="e">
        <x:f>IFERROR(($AO$52*$U$52/100)/VLOOKUP(F62,食物数据库V3!$B$6:$K$59,2,FALSE)*100*IF(IFERROR(VLOOKUP(F62,食物数据库V3!$B$6:$K$59,7,FALSE),"无需换算")="无需换算",1,IF(IFERROR(VLOOKUP(F62,食物数据库V3!$B$6:$K$59,8,FALSE),IFERROR(VLOOKUP(F62,食物数据库V3!$B$6:$K$59,7,FALSE),"熟重"))=IFERROR(VLOOKUP(F62,食物数据库V3!$B$6:$K$59,7,FALSE),"熟重"),1,IF(IFERROR(VLOOKUP(F62,食物数据库V3!$B$6:$K$59,8,FALSE),"熟重")="熟重",IFERROR(VLOOKUP(F62,食物数据库V3!$B$6:$K$59,9,FALSE),1),1/IFERROR(VLOOKUP(F62,食物数据库V3!$B$6:$K$59,9,FALSE),1)))),0)</x:f>
        <x:v>#NAME?</x:v>
      </x:c>
      <x:c r="H62" s="65" t="str">
        <x:f>I24</x:f>
        <x:v>-</x:v>
      </x:c>
      <x:c r="I62" s="59">
        <x:v>0</x:v>
      </x:c>
      <x:c r="J62" s="65" t="str">
        <x:f>I25</x:f>
        <x:v>-</x:v>
      </x:c>
      <x:c r="K62" s="59">
        <x:v>0</x:v>
      </x:c>
      <x:c r="L62" s="65" t="str">
        <x:f>I26</x:f>
        <x:v>-</x:v>
      </x:c>
      <x:c r="M62" s="59">
        <x:v>0</x:v>
      </x:c>
      <x:c r="N62" s="65" t="str">
        <x:f>L24</x:f>
        <x:v>-</x:v>
      </x:c>
      <x:c r="O62" s="59">
        <x:v>0</x:v>
      </x:c>
      <x:c r="P62" s="65" t="str">
        <x:f>L25</x:f>
        <x:v>-</x:v>
      </x:c>
      <x:c r="Q62" s="59">
        <x:v>0</x:v>
      </x:c>
      <x:c r="R62" s="65" t="str">
        <x:f>L26</x:f>
        <x:v>-</x:v>
      </x:c>
      <x:c r="S62" s="59">
        <x:v>0</x:v>
      </x:c>
      <x:c r="T62" s="56"/>
    </x:row>
    <x:row r="63" ht="27.75" hidden="1">
      <x:c r="A63" s="58" t="s">
        <x:v>80</x:v>
      </x:c>
      <x:c r="B63" s="65" t="str">
        <x:f>F28</x:f>
        <x:v>荞麦面（熟）</x:v>
      </x:c>
      <x:c r="C63" s="59" t="e">
        <x:f>IFERROR(($AO$53*$U$53/100)/VLOOKUP(B63,食物数据库V3!$B$6:$K$59,2,FALSE)*100*IF(IFERROR(VLOOKUP(B63,食物数据库V3!$B$6:$K$59,7,FALSE),"无需换算")="无需换算",1,IF(IFERROR(VLOOKUP(B63,食物数据库V3!$B$6:$K$59,8,FALSE),IFERROR(VLOOKUP(B63,食物数据库V3!$B$6:$K$59,7,FALSE),"熟重"))=IFERROR(VLOOKUP(B63,食物数据库V3!$B$6:$K$59,7,FALSE),"熟重"),1,IF(IFERROR(VLOOKUP(B63,食物数据库V3!$B$6:$K$59,8,FALSE),"熟重")="熟重",IFERROR(VLOOKUP(B63,食物数据库V3!$B$6:$K$59,9,FALSE),1),1/IFERROR(VLOOKUP(B63,食物数据库V3!$B$6:$K$59,9,FALSE),1)))),0)</x:f>
        <x:v>#NAME?</x:v>
      </x:c>
      <x:c r="D63" s="65" t="str">
        <x:f>F29</x:f>
        <x:v>熟米饭</x:v>
      </x:c>
      <x:c r="E63" s="59" t="e">
        <x:f>IFERROR(($AO$53*$U$53/100)/VLOOKUP(D63,食物数据库V3!$B$6:$K$59,2,FALSE)*100*IF(IFERROR(VLOOKUP(D63,食物数据库V3!$B$6:$K$59,7,FALSE),"无需换算")="无需换算",1,IF(IFERROR(VLOOKUP(D63,食物数据库V3!$B$6:$K$59,8,FALSE),IFERROR(VLOOKUP(D63,食物数据库V3!$B$6:$K$59,7,FALSE),"熟重"))=IFERROR(VLOOKUP(D63,食物数据库V3!$B$6:$K$59,7,FALSE),"熟重"),1,IF(IFERROR(VLOOKUP(D63,食物数据库V3!$B$6:$K$59,8,FALSE),"熟重")="熟重",IFERROR(VLOOKUP(D63,食物数据库V3!$B$6:$K$59,9,FALSE),1),1/IFERROR(VLOOKUP(D63,食物数据库V3!$B$6:$K$59,9,FALSE),1)))),0)</x:f>
        <x:v>#NAME?</x:v>
      </x:c>
      <x:c r="F63" s="65" t="str">
        <x:f>F30</x:f>
        <x:v>红薯（熟）</x:v>
      </x:c>
      <x:c r="G63" s="59" t="e">
        <x:f>IFERROR(($AO$53*$U$53/100)/VLOOKUP(F63,食物数据库V3!$B$6:$K$59,2,FALSE)*100*IF(IFERROR(VLOOKUP(F63,食物数据库V3!$B$6:$K$59,7,FALSE),"无需换算")="无需换算",1,IF(IFERROR(VLOOKUP(F63,食物数据库V3!$B$6:$K$59,8,FALSE),IFERROR(VLOOKUP(F63,食物数据库V3!$B$6:$K$59,7,FALSE),"熟重"))=IFERROR(VLOOKUP(F63,食物数据库V3!$B$6:$K$59,7,FALSE),"熟重"),1,IF(IFERROR(VLOOKUP(F63,食物数据库V3!$B$6:$K$59,8,FALSE),"熟重")="熟重",IFERROR(VLOOKUP(F63,食物数据库V3!$B$6:$K$59,9,FALSE),1),1/IFERROR(VLOOKUP(F63,食物数据库V3!$B$6:$K$59,9,FALSE),1)))),0)</x:f>
        <x:v>#NAME?</x:v>
      </x:c>
      <x:c r="H63" s="65" t="str">
        <x:f>I28</x:f>
        <x:v>鸡胸肉（生）</x:v>
      </x:c>
      <x:c r="I63" s="59" t="e">
        <x:f>IFERROR(($AP$53*$Y$53/100)/VLOOKUP(H63,食物数据库V3!$B$6:$K$59,3,FALSE)*100*IF(IFERROR(VLOOKUP(H63,食物数据库V3!$B$6:$K$59,7,FALSE),"无需换算")="无需换算",1,IF(IFERROR(VLOOKUP(H63,食物数据库V3!$B$6:$K$59,8,FALSE),IFERROR(VLOOKUP(H63,食物数据库V3!$B$6:$K$59,7,FALSE),"熟重"))=IFERROR(VLOOKUP(H63,食物数据库V3!$B$6:$K$59,7,FALSE),"熟重"),1,IF(IFERROR(VLOOKUP(H63,食物数据库V3!$B$6:$K$59,8,FALSE),"熟重")="熟重",IFERROR(VLOOKUP(H63,食物数据库V3!$B$6:$K$59,9,FALSE),1),1/IFERROR(VLOOKUP(H63,食物数据库V3!$B$6:$K$59,9,FALSE),1)))),0)</x:f>
        <x:v>#NAME?</x:v>
      </x:c>
      <x:c r="J63" s="65" t="str">
        <x:f>I29</x:f>
        <x:v>虾仁</x:v>
      </x:c>
      <x:c r="K63" s="59" t="e">
        <x:f>IFERROR(($AP$53*$Y$53/100)/VLOOKUP(J63,食物数据库V3!$B$6:$K$59,3,FALSE)*100*IF(IFERROR(VLOOKUP(J63,食物数据库V3!$B$6:$K$59,7,FALSE),"无需换算")="无需换算",1,IF(IFERROR(VLOOKUP(J63,食物数据库V3!$B$6:$K$59,8,FALSE),IFERROR(VLOOKUP(J63,食物数据库V3!$B$6:$K$59,7,FALSE),"熟重"))=IFERROR(VLOOKUP(J63,食物数据库V3!$B$6:$K$59,7,FALSE),"熟重"),1,IF(IFERROR(VLOOKUP(J63,食物数据库V3!$B$6:$K$59,8,FALSE),"熟重")="熟重",IFERROR(VLOOKUP(J63,食物数据库V3!$B$6:$K$59,9,FALSE),1),1/IFERROR(VLOOKUP(J63,食物数据库V3!$B$6:$K$59,9,FALSE),1)))),0)</x:f>
        <x:v>#NAME?</x:v>
      </x:c>
      <x:c r="L63" s="65" t="str">
        <x:f>I30</x:f>
        <x:v>金枪鱼（水浸）</x:v>
      </x:c>
      <x:c r="M63" s="59" t="e">
        <x:f>IFERROR(($AP$53*$Y$53/100)/VLOOKUP(L63,食物数据库V3!$B$6:$K$59,3,FALSE)*100*IF(IFERROR(VLOOKUP(L63,食物数据库V3!$B$6:$K$59,7,FALSE),"无需换算")="无需换算",1,IF(IFERROR(VLOOKUP(L63,食物数据库V3!$B$6:$K$59,8,FALSE),IFERROR(VLOOKUP(L63,食物数据库V3!$B$6:$K$59,7,FALSE),"熟重"))=IFERROR(VLOOKUP(L63,食物数据库V3!$B$6:$K$59,7,FALSE),"熟重"),1,IF(IFERROR(VLOOKUP(L63,食物数据库V3!$B$6:$K$59,8,FALSE),"熟重")="熟重",IFERROR(VLOOKUP(L63,食物数据库V3!$B$6:$K$59,9,FALSE),1),1/IFERROR(VLOOKUP(L63,食物数据库V3!$B$6:$K$59,9,FALSE),1)))),0)</x:f>
        <x:v>#NAME?</x:v>
      </x:c>
      <x:c r="N63" s="65" t="str">
        <x:f>L28</x:f>
        <x:v>橄榄油</x:v>
      </x:c>
      <x:c r="O63" s="59" t="e">
        <x:f>IFERROR(($AQ$53*$AC$53/100)/VLOOKUP(N63,食物数据库V3!$B$6:$K$59,4,FALSE)*100*IF(IFERROR(VLOOKUP(N63,食物数据库V3!$B$6:$K$59,7,FALSE),"无需换算")="无需换算",1,IF(IFERROR(VLOOKUP(N63,食物数据库V3!$B$6:$K$59,8,FALSE),IFERROR(VLOOKUP(N63,食物数据库V3!$B$6:$K$59,7,FALSE),"熟重"))=IFERROR(VLOOKUP(N63,食物数据库V3!$B$6:$K$59,7,FALSE),"熟重"),1,IF(IFERROR(VLOOKUP(N63,食物数据库V3!$B$6:$K$59,8,FALSE),"熟重")="熟重",IFERROR(VLOOKUP(N63,食物数据库V3!$B$6:$K$59,9,FALSE),1),1/IFERROR(VLOOKUP(N63,食物数据库V3!$B$6:$K$59,9,FALSE),1)))),0)</x:f>
        <x:v>#NAME?</x:v>
      </x:c>
      <x:c r="P63" s="65" t="str">
        <x:f>L29</x:f>
        <x:v>腰果</x:v>
      </x:c>
      <x:c r="Q63" s="59" t="e">
        <x:f>IFERROR(($AQ$53*$AC$53/100)/VLOOKUP(P63,食物数据库V3!$B$6:$K$59,4,FALSE)*100*IF(IFERROR(VLOOKUP(P63,食物数据库V3!$B$6:$K$59,7,FALSE),"无需换算")="无需换算",1,IF(IFERROR(VLOOKUP(P63,食物数据库V3!$B$6:$K$59,8,FALSE),IFERROR(VLOOKUP(P63,食物数据库V3!$B$6:$K$59,7,FALSE),"熟重"))=IFERROR(VLOOKUP(P63,食物数据库V3!$B$6:$K$59,7,FALSE),"熟重"),1,IF(IFERROR(VLOOKUP(P63,食物数据库V3!$B$6:$K$59,8,FALSE),"熟重")="熟重",IFERROR(VLOOKUP(P63,食物数据库V3!$B$6:$K$59,9,FALSE),1),1/IFERROR(VLOOKUP(P63,食物数据库V3!$B$6:$K$59,9,FALSE),1)))),0)</x:f>
        <x:v>#NAME?</x:v>
      </x:c>
      <x:c r="R63" s="65" t="str">
        <x:f>L30</x:f>
        <x:v>花生酱</x:v>
      </x:c>
      <x:c r="S63" s="59" t="e">
        <x:f>IFERROR(($AQ$53*$AC$53/100)/VLOOKUP(R63,食物数据库V3!$B$6:$K$59,4,FALSE)*100*IF(IFERROR(VLOOKUP(R63,食物数据库V3!$B$6:$K$59,7,FALSE),"无需换算")="无需换算",1,IF(IFERROR(VLOOKUP(R63,食物数据库V3!$B$6:$K$59,8,FALSE),IFERROR(VLOOKUP(R63,食物数据库V3!$B$6:$K$59,7,FALSE),"熟重"))=IFERROR(VLOOKUP(R63,食物数据库V3!$B$6:$K$59,7,FALSE),"熟重"),1,IF(IFERROR(VLOOKUP(R63,食物数据库V3!$B$6:$K$59,8,FALSE),"熟重")="熟重",IFERROR(VLOOKUP(R63,食物数据库V3!$B$6:$K$59,9,FALSE),1),1/IFERROR(VLOOKUP(R63,食物数据库V3!$B$6:$K$59,9,FALSE),1)))),0)</x:f>
        <x:v>#NAME?</x:v>
      </x:c>
      <x:c r="T63" s="56"/>
    </x:row>
    <x:row r="64" hidden="1"/>
    <x:row r="65" hidden="1"/>
    <x:row r="66" hidden="1"/>
    <x:row r="67" hidden="1"/>
    <x:row r="68" hidden="1"/>
    <x:row r="69" hidden="1"/>
    <x:row r="70" hidden="1"/>
    <x:row r="71" hidden="1"/>
    <x:row r="72" hidden="1"/>
    <x:row r="73" hidden="1"/>
    <x:row r="74" hidden="1"/>
    <x:row r="75" hidden="1"/>
    <x:row r="76" hidden="1"/>
    <x:row r="77" hidden="1"/>
  </x:sheetData>
  <x:mergeCells>
    <x:mergeCell ref="A1:T1"/>
    <x:mergeCell ref="A3:T3"/>
    <x:mergeCell ref="N5:T5"/>
    <x:mergeCell ref="A6:T6"/>
    <x:mergeCell ref="A13:T13"/>
    <x:mergeCell ref="A32:T32"/>
    <x:mergeCell ref="A39:T39"/>
    <x:mergeCell ref="A58:T58"/>
  </x:mergeCells>
  <x:dataValidations count="6">
    <x:dataValidation type="list" allowBlank="1" showInputMessage="1" showErrorMessage="1" sqref="B4">
      <x:formula1>CycleDays</x:formula1>
    </x:dataValidation>
    <x:dataValidation type="list" allowBlank="1" showInputMessage="1" showErrorMessage="1" sqref="G15 J15 G19 J19 G23 J23 G27 J27 I53 F50:F53 I50:I51">
      <x:formula1>"生重,熟重"</x:formula1>
    </x:dataValidation>
    <x:dataValidation type="list" allowBlank="1" showInputMessage="1" showErrorMessage="1" sqref="N15 N19 N23 N27 M53 M50:M51">
      <x:formula1>VegFoods</x:formula1>
    </x:dataValidation>
    <x:dataValidation type="list" allowBlank="1" showInputMessage="1" showErrorMessage="1" sqref="H53 H63 J63 L63 H50:H51 H60:H61 I15:I30 J60:J61 L60:L61">
      <x:formula1>ProteinFoods</x:formula1>
    </x:dataValidation>
    <x:dataValidation type="list" allowBlank="1" showInputMessage="1" showErrorMessage="1" sqref="K53 N63 P63 R63 K50:K51 L15:L30 N60:N61 P60:P61 R60:R61">
      <x:formula1>FatFoods</x:formula1>
    </x:dataValidation>
    <x:dataValidation type="list" allowBlank="1" showInputMessage="1" showErrorMessage="1" sqref="B60:B63 D60:D63 E50:E53 F15:F30 F60:F63">
      <x:formula1>CarbFoods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725664138793945" defaultRowHeight="13.5"/>
  <x:cols>
    <x:col min="1" max="1" width="9.637167930603027" customWidth="1"/>
    <x:col min="2" max="2" width="11.637167930603027" customWidth="1"/>
    <x:col min="3" max="3" width="12.637167930603027" customWidth="1"/>
    <x:col min="4" max="4" width="9.637167930603027" customWidth="1"/>
    <x:col min="5" max="5" width="12.637167930603027" customWidth="1"/>
    <x:col min="6" max="6" width="14.637167930603027" customWidth="1"/>
    <x:col min="7" max="18" width="11.637167930603027" customWidth="1"/>
    <x:col min="19" max="21" width="14.637167930603027" customWidth="1"/>
  </x:cols>
  <x:sheetData>
    <x:row r="1" ht="34" customHeight="1">
      <x:c r="A1" s="55" t="s">
        <x:v>175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</x:row>
    <x:row r="2" ht="13.850000381469727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</x:row>
    <x:row r="3" ht="15.75">
      <x:c r="A3" s="57" t="s">
        <x:v>176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</x:row>
    <x:row r="4" ht="40" customHeight="1">
      <x:c r="A4" s="16" t="s">
        <x:v>41</x:v>
      </x:c>
      <x:c r="B4" s="16" t="s">
        <x:v>177</x:v>
      </x:c>
      <x:c r="C4" s="16" t="s">
        <x:v>178</x:v>
      </x:c>
      <x:c r="D4" s="16" t="s">
        <x:v>179</x:v>
      </x:c>
      <x:c r="E4" s="16" t="s">
        <x:v>45</x:v>
      </x:c>
      <x:c r="F4" s="16" t="s">
        <x:v>46</x:v>
      </x:c>
      <x:c r="G4" s="16" t="s">
        <x:v>180</x:v>
      </x:c>
      <x:c r="H4" s="16" t="s">
        <x:v>181</x:v>
      </x:c>
      <x:c r="I4" s="16" t="s">
        <x:v>182</x:v>
      </x:c>
      <x:c r="J4" s="16" t="s">
        <x:v>183</x:v>
      </x:c>
      <x:c r="K4" s="16" t="s">
        <x:v>184</x:v>
      </x:c>
      <x:c r="L4" s="16" t="s">
        <x:v>185</x:v>
      </x:c>
      <x:c r="M4" s="16" t="s">
        <x:v>186</x:v>
      </x:c>
      <x:c r="N4" s="16" t="s">
        <x:v>187</x:v>
      </x:c>
      <x:c r="O4" s="16" t="s">
        <x:v>188</x:v>
      </x:c>
      <x:c r="P4" s="16" t="s">
        <x:v>189</x:v>
      </x:c>
      <x:c r="Q4" s="16" t="s">
        <x:v>190</x:v>
      </x:c>
      <x:c r="R4" s="16" t="s">
        <x:v>191</x:v>
      </x:c>
      <x:c r="S4" s="16" t="s">
        <x:v>192</x:v>
      </x:c>
      <x:c r="T4" s="16" t="s">
        <x:v>193</x:v>
      </x:c>
      <x:c r="U4" s="16" t="s">
        <x:v>194</x:v>
      </x:c>
    </x:row>
    <x:row r="5" ht="13.899999618530273">
      <x:c r="A5" s="58">
        <x:v>1</x:v>
      </x:c>
      <x:c r="B5" s="58" t="e">
        <x:f>V6周期计划!B20</x:f>
        <x:v>#NAME?</x:v>
      </x:c>
      <x:c r="C5" s="58" t="e">
        <x:f>IF(B5="未启用","",V6周期计划!C20)</x:f>
        <x:v>#NAME?</x:v>
      </x:c>
      <x:c r="D5" s="58" t="e">
        <x:f>IF(B5="未启用","",V6周期计划!D20)</x:f>
        <x:v>#NAME?</x:v>
      </x:c>
      <x:c r="E5" s="58" t="e">
        <x:f>IF(B5="未启用","",V6周期计划!E20)</x:f>
        <x:v>#NAME?</x:v>
      </x:c>
      <x:c r="F5" s="58" t="e">
        <x:f>IF(B5="未启用","",V6周期计划!F20)</x:f>
        <x:v>#NAME?</x:v>
      </x:c>
      <x:c r="G5" s="59" t="e">
        <x:f>IF(B5="未启用","",V6周期计划!G20)</x:f>
        <x:v>#NAME?</x:v>
      </x:c>
      <x:c r="H5" s="59" t="e">
        <x:f>IF(B5="未启用","",V6周期计划!H20)</x:f>
        <x:v>#NAME?</x:v>
      </x:c>
      <x:c r="I5" s="59" t="e">
        <x:f>IF(B5="未启用","",V6周期计划!I20)</x:f>
        <x:v>#NAME?</x:v>
      </x:c>
      <x:c r="J5" s="60" t="e">
        <x:f>IF(B5="未启用","",G5*IF(D5="是",V6设置!$B15,V6设置!$B23))</x:f>
        <x:v>#NAME?</x:v>
      </x:c>
      <x:c r="K5" s="60" t="e">
        <x:f>IF(B5="未启用","",H5*IF(D5="是",V6设置!$C15,V6设置!$C23))</x:f>
        <x:v>#NAME?</x:v>
      </x:c>
      <x:c r="L5" s="60" t="e">
        <x:f>IF(B5="未启用","",I5*IF(D5="是",V6设置!$D15,V6设置!$D23))</x:f>
        <x:v>#NAME?</x:v>
      </x:c>
      <x:c r="M5" s="60" t="e">
        <x:f>IF(B5="未启用","",G5*IF(D5="是",V6设置!$B16,V6设置!$B24))</x:f>
        <x:v>#NAME?</x:v>
      </x:c>
      <x:c r="N5" s="60" t="e">
        <x:f>IF(B5="未启用","",H5*IF(D5="是",V6设置!$C16,V6设置!$C24))</x:f>
        <x:v>#NAME?</x:v>
      </x:c>
      <x:c r="O5" s="60" t="e">
        <x:f>IF(B5="未启用","",I5*IF(D5="是",V6设置!$D16,V6设置!$D24))</x:f>
        <x:v>#NAME?</x:v>
      </x:c>
      <x:c r="P5" s="60" t="e">
        <x:f>IF(B5="未启用","",G5*IF(D5="是",V6设置!$B17,V6设置!$B25))</x:f>
        <x:v>#NAME?</x:v>
      </x:c>
      <x:c r="Q5" s="60" t="e">
        <x:f>IF(B5="未启用","",H5*IF(D5="是",V6设置!$C17,V6设置!$C25))</x:f>
        <x:v>#NAME?</x:v>
      </x:c>
      <x:c r="R5" s="60" t="e">
        <x:f>IF(B5="未启用","",I5*IF(D5="是",V6设置!$D17,V6设置!$D25))</x:f>
        <x:v>#NAME?</x:v>
      </x:c>
      <x:c r="S5" s="60" t="e">
        <x:f>IF(B5="未启用","",G5*IF(D5="是",V6设置!$B18,V6设置!$B26))</x:f>
        <x:v>#NAME?</x:v>
      </x:c>
      <x:c r="T5" s="60" t="e">
        <x:f>IF(B5="未启用","",H5*IF(D5="是",V6设置!$C18,V6设置!$C26))</x:f>
        <x:v>#NAME?</x:v>
      </x:c>
      <x:c r="U5" s="60" t="e">
        <x:f>IF(B5="未启用","",I5*IF(D5="是",V6设置!$D18,V6设置!$D26))</x:f>
        <x:v>#NAME?</x:v>
      </x:c>
    </x:row>
    <x:row r="6" ht="13.899999618530273">
      <x:c r="A6" s="58">
        <x:v>2</x:v>
      </x:c>
      <x:c r="B6" s="58" t="e">
        <x:f>V6周期计划!B21</x:f>
        <x:v>#NAME?</x:v>
      </x:c>
      <x:c r="C6" s="58" t="e">
        <x:f>IF(B6="未启用","",V6周期计划!C21)</x:f>
        <x:v>#NAME?</x:v>
      </x:c>
      <x:c r="D6" s="58" t="e">
        <x:f>IF(B6="未启用","",V6周期计划!D21)</x:f>
        <x:v>#NAME?</x:v>
      </x:c>
      <x:c r="E6" s="58" t="e">
        <x:f>IF(B6="未启用","",V6周期计划!E21)</x:f>
        <x:v>#NAME?</x:v>
      </x:c>
      <x:c r="F6" s="58" t="e">
        <x:f>IF(B6="未启用","",V6周期计划!F21)</x:f>
        <x:v>#NAME?</x:v>
      </x:c>
      <x:c r="G6" s="59" t="e">
        <x:f>IF(B6="未启用","",V6周期计划!G21)</x:f>
        <x:v>#NAME?</x:v>
      </x:c>
      <x:c r="H6" s="59" t="e">
        <x:f>IF(B6="未启用","",V6周期计划!H21)</x:f>
        <x:v>#NAME?</x:v>
      </x:c>
      <x:c r="I6" s="59" t="e">
        <x:f>IF(B6="未启用","",V6周期计划!I21)</x:f>
        <x:v>#NAME?</x:v>
      </x:c>
      <x:c r="J6" s="60" t="e">
        <x:f>IF(B6="未启用","",G6*IF(D6="是",V6设置!$B15,V6设置!$B23))</x:f>
        <x:v>#NAME?</x:v>
      </x:c>
      <x:c r="K6" s="60" t="e">
        <x:f>IF(B6="未启用","",H6*IF(D6="是",V6设置!$C15,V6设置!$C23))</x:f>
        <x:v>#NAME?</x:v>
      </x:c>
      <x:c r="L6" s="60" t="e">
        <x:f>IF(B6="未启用","",I6*IF(D6="是",V6设置!$D15,V6设置!$D23))</x:f>
        <x:v>#NAME?</x:v>
      </x:c>
      <x:c r="M6" s="60" t="e">
        <x:f>IF(B6="未启用","",G6*IF(D6="是",V6设置!$B16,V6设置!$B24))</x:f>
        <x:v>#NAME?</x:v>
      </x:c>
      <x:c r="N6" s="60" t="e">
        <x:f>IF(B6="未启用","",H6*IF(D6="是",V6设置!$C16,V6设置!$C24))</x:f>
        <x:v>#NAME?</x:v>
      </x:c>
      <x:c r="O6" s="60" t="e">
        <x:f>IF(B6="未启用","",I6*IF(D6="是",V6设置!$D16,V6设置!$D24))</x:f>
        <x:v>#NAME?</x:v>
      </x:c>
      <x:c r="P6" s="60" t="e">
        <x:f>IF(B6="未启用","",G6*IF(D6="是",V6设置!$B17,V6设置!$B25))</x:f>
        <x:v>#NAME?</x:v>
      </x:c>
      <x:c r="Q6" s="60" t="e">
        <x:f>IF(B6="未启用","",H6*IF(D6="是",V6设置!$C17,V6设置!$C25))</x:f>
        <x:v>#NAME?</x:v>
      </x:c>
      <x:c r="R6" s="60" t="e">
        <x:f>IF(B6="未启用","",I6*IF(D6="是",V6设置!$D17,V6设置!$D25))</x:f>
        <x:v>#NAME?</x:v>
      </x:c>
      <x:c r="S6" s="60" t="e">
        <x:f>IF(B6="未启用","",G6*IF(D6="是",V6设置!$B18,V6设置!$B26))</x:f>
        <x:v>#NAME?</x:v>
      </x:c>
      <x:c r="T6" s="60" t="e">
        <x:f>IF(B6="未启用","",H6*IF(D6="是",V6设置!$C18,V6设置!$C26))</x:f>
        <x:v>#NAME?</x:v>
      </x:c>
      <x:c r="U6" s="60" t="e">
        <x:f>IF(B6="未启用","",I6*IF(D6="是",V6设置!$D18,V6设置!$D26))</x:f>
        <x:v>#NAME?</x:v>
      </x:c>
    </x:row>
    <x:row r="7" ht="13.899999618530273">
      <x:c r="A7" s="58">
        <x:v>3</x:v>
      </x:c>
      <x:c r="B7" s="58" t="e">
        <x:f>V6周期计划!B22</x:f>
        <x:v>#NAME?</x:v>
      </x:c>
      <x:c r="C7" s="58" t="e">
        <x:f>IF(B7="未启用","",V6周期计划!C22)</x:f>
        <x:v>#NAME?</x:v>
      </x:c>
      <x:c r="D7" s="58" t="e">
        <x:f>IF(B7="未启用","",V6周期计划!D22)</x:f>
        <x:v>#NAME?</x:v>
      </x:c>
      <x:c r="E7" s="58" t="e">
        <x:f>IF(B7="未启用","",V6周期计划!E22)</x:f>
        <x:v>#NAME?</x:v>
      </x:c>
      <x:c r="F7" s="58" t="e">
        <x:f>IF(B7="未启用","",V6周期计划!F22)</x:f>
        <x:v>#NAME?</x:v>
      </x:c>
      <x:c r="G7" s="59" t="e">
        <x:f>IF(B7="未启用","",V6周期计划!G22)</x:f>
        <x:v>#NAME?</x:v>
      </x:c>
      <x:c r="H7" s="59" t="e">
        <x:f>IF(B7="未启用","",V6周期计划!H22)</x:f>
        <x:v>#NAME?</x:v>
      </x:c>
      <x:c r="I7" s="59" t="e">
        <x:f>IF(B7="未启用","",V6周期计划!I22)</x:f>
        <x:v>#NAME?</x:v>
      </x:c>
      <x:c r="J7" s="60" t="e">
        <x:f>IF(B7="未启用","",G7*IF(D7="是",V6设置!$B15,V6设置!$B23))</x:f>
        <x:v>#NAME?</x:v>
      </x:c>
      <x:c r="K7" s="60" t="e">
        <x:f>IF(B7="未启用","",H7*IF(D7="是",V6设置!$C15,V6设置!$C23))</x:f>
        <x:v>#NAME?</x:v>
      </x:c>
      <x:c r="L7" s="60" t="e">
        <x:f>IF(B7="未启用","",I7*IF(D7="是",V6设置!$D15,V6设置!$D23))</x:f>
        <x:v>#NAME?</x:v>
      </x:c>
      <x:c r="M7" s="60" t="e">
        <x:f>IF(B7="未启用","",G7*IF(D7="是",V6设置!$B16,V6设置!$B24))</x:f>
        <x:v>#NAME?</x:v>
      </x:c>
      <x:c r="N7" s="60" t="e">
        <x:f>IF(B7="未启用","",H7*IF(D7="是",V6设置!$C16,V6设置!$C24))</x:f>
        <x:v>#NAME?</x:v>
      </x:c>
      <x:c r="O7" s="60" t="e">
        <x:f>IF(B7="未启用","",I7*IF(D7="是",V6设置!$D16,V6设置!$D24))</x:f>
        <x:v>#NAME?</x:v>
      </x:c>
      <x:c r="P7" s="60" t="e">
        <x:f>IF(B7="未启用","",G7*IF(D7="是",V6设置!$B17,V6设置!$B25))</x:f>
        <x:v>#NAME?</x:v>
      </x:c>
      <x:c r="Q7" s="60" t="e">
        <x:f>IF(B7="未启用","",H7*IF(D7="是",V6设置!$C17,V6设置!$C25))</x:f>
        <x:v>#NAME?</x:v>
      </x:c>
      <x:c r="R7" s="60" t="e">
        <x:f>IF(B7="未启用","",I7*IF(D7="是",V6设置!$D17,V6设置!$D25))</x:f>
        <x:v>#NAME?</x:v>
      </x:c>
      <x:c r="S7" s="60" t="e">
        <x:f>IF(B7="未启用","",G7*IF(D7="是",V6设置!$B18,V6设置!$B26))</x:f>
        <x:v>#NAME?</x:v>
      </x:c>
      <x:c r="T7" s="60" t="e">
        <x:f>IF(B7="未启用","",H7*IF(D7="是",V6设置!$C18,V6设置!$C26))</x:f>
        <x:v>#NAME?</x:v>
      </x:c>
      <x:c r="U7" s="60" t="e">
        <x:f>IF(B7="未启用","",I7*IF(D7="是",V6设置!$D18,V6设置!$D26))</x:f>
        <x:v>#NAME?</x:v>
      </x:c>
    </x:row>
    <x:row r="8" ht="13.899999618530273">
      <x:c r="A8" s="58">
        <x:v>4</x:v>
      </x:c>
      <x:c r="B8" s="58" t="e">
        <x:f>V6周期计划!B23</x:f>
        <x:v>#NAME?</x:v>
      </x:c>
      <x:c r="C8" s="58" t="e">
        <x:f>IF(B8="未启用","",V6周期计划!C23)</x:f>
        <x:v>#NAME?</x:v>
      </x:c>
      <x:c r="D8" s="58" t="e">
        <x:f>IF(B8="未启用","",V6周期计划!D23)</x:f>
        <x:v>#NAME?</x:v>
      </x:c>
      <x:c r="E8" s="58" t="e">
        <x:f>IF(B8="未启用","",V6周期计划!E23)</x:f>
        <x:v>#NAME?</x:v>
      </x:c>
      <x:c r="F8" s="58" t="e">
        <x:f>IF(B8="未启用","",V6周期计划!F23)</x:f>
        <x:v>#NAME?</x:v>
      </x:c>
      <x:c r="G8" s="59" t="e">
        <x:f>IF(B8="未启用","",V6周期计划!G23)</x:f>
        <x:v>#NAME?</x:v>
      </x:c>
      <x:c r="H8" s="59" t="e">
        <x:f>IF(B8="未启用","",V6周期计划!H23)</x:f>
        <x:v>#NAME?</x:v>
      </x:c>
      <x:c r="I8" s="59" t="e">
        <x:f>IF(B8="未启用","",V6周期计划!I23)</x:f>
        <x:v>#NAME?</x:v>
      </x:c>
      <x:c r="J8" s="60" t="e">
        <x:f>IF(B8="未启用","",G8*IF(D8="是",V6设置!$B15,V6设置!$B23))</x:f>
        <x:v>#NAME?</x:v>
      </x:c>
      <x:c r="K8" s="60" t="e">
        <x:f>IF(B8="未启用","",H8*IF(D8="是",V6设置!$C15,V6设置!$C23))</x:f>
        <x:v>#NAME?</x:v>
      </x:c>
      <x:c r="L8" s="60" t="e">
        <x:f>IF(B8="未启用","",I8*IF(D8="是",V6设置!$D15,V6设置!$D23))</x:f>
        <x:v>#NAME?</x:v>
      </x:c>
      <x:c r="M8" s="60" t="e">
        <x:f>IF(B8="未启用","",G8*IF(D8="是",V6设置!$B16,V6设置!$B24))</x:f>
        <x:v>#NAME?</x:v>
      </x:c>
      <x:c r="N8" s="60" t="e">
        <x:f>IF(B8="未启用","",H8*IF(D8="是",V6设置!$C16,V6设置!$C24))</x:f>
        <x:v>#NAME?</x:v>
      </x:c>
      <x:c r="O8" s="60" t="e">
        <x:f>IF(B8="未启用","",I8*IF(D8="是",V6设置!$D16,V6设置!$D24))</x:f>
        <x:v>#NAME?</x:v>
      </x:c>
      <x:c r="P8" s="60" t="e">
        <x:f>IF(B8="未启用","",G8*IF(D8="是",V6设置!$B17,V6设置!$B25))</x:f>
        <x:v>#NAME?</x:v>
      </x:c>
      <x:c r="Q8" s="60" t="e">
        <x:f>IF(B8="未启用","",H8*IF(D8="是",V6设置!$C17,V6设置!$C25))</x:f>
        <x:v>#NAME?</x:v>
      </x:c>
      <x:c r="R8" s="60" t="e">
        <x:f>IF(B8="未启用","",I8*IF(D8="是",V6设置!$D17,V6设置!$D25))</x:f>
        <x:v>#NAME?</x:v>
      </x:c>
      <x:c r="S8" s="60" t="e">
        <x:f>IF(B8="未启用","",G8*IF(D8="是",V6设置!$B18,V6设置!$B26))</x:f>
        <x:v>#NAME?</x:v>
      </x:c>
      <x:c r="T8" s="60" t="e">
        <x:f>IF(B8="未启用","",H8*IF(D8="是",V6设置!$C18,V6设置!$C26))</x:f>
        <x:v>#NAME?</x:v>
      </x:c>
      <x:c r="U8" s="60" t="e">
        <x:f>IF(B8="未启用","",I8*IF(D8="是",V6设置!$D18,V6设置!$D26))</x:f>
        <x:v>#NAME?</x:v>
      </x:c>
    </x:row>
    <x:row r="9" ht="13.899999618530273">
      <x:c r="A9" s="58">
        <x:v>5</x:v>
      </x:c>
      <x:c r="B9" s="58" t="e">
        <x:f>V6周期计划!B24</x:f>
        <x:v>#NAME?</x:v>
      </x:c>
      <x:c r="C9" s="58" t="e">
        <x:f>IF(B9="未启用","",V6周期计划!C24)</x:f>
        <x:v>#NAME?</x:v>
      </x:c>
      <x:c r="D9" s="58" t="e">
        <x:f>IF(B9="未启用","",V6周期计划!D24)</x:f>
        <x:v>#NAME?</x:v>
      </x:c>
      <x:c r="E9" s="58" t="e">
        <x:f>IF(B9="未启用","",V6周期计划!E24)</x:f>
        <x:v>#NAME?</x:v>
      </x:c>
      <x:c r="F9" s="58" t="e">
        <x:f>IF(B9="未启用","",V6周期计划!F24)</x:f>
        <x:v>#NAME?</x:v>
      </x:c>
      <x:c r="G9" s="59" t="e">
        <x:f>IF(B9="未启用","",V6周期计划!G24)</x:f>
        <x:v>#NAME?</x:v>
      </x:c>
      <x:c r="H9" s="59" t="e">
        <x:f>IF(B9="未启用","",V6周期计划!H24)</x:f>
        <x:v>#NAME?</x:v>
      </x:c>
      <x:c r="I9" s="59" t="e">
        <x:f>IF(B9="未启用","",V6周期计划!I24)</x:f>
        <x:v>#NAME?</x:v>
      </x:c>
      <x:c r="J9" s="60" t="e">
        <x:f>IF(B9="未启用","",G9*IF(D9="是",V6设置!$B15,V6设置!$B23))</x:f>
        <x:v>#NAME?</x:v>
      </x:c>
      <x:c r="K9" s="60" t="e">
        <x:f>IF(B9="未启用","",H9*IF(D9="是",V6设置!$C15,V6设置!$C23))</x:f>
        <x:v>#NAME?</x:v>
      </x:c>
      <x:c r="L9" s="60" t="e">
        <x:f>IF(B9="未启用","",I9*IF(D9="是",V6设置!$D15,V6设置!$D23))</x:f>
        <x:v>#NAME?</x:v>
      </x:c>
      <x:c r="M9" s="60" t="e">
        <x:f>IF(B9="未启用","",G9*IF(D9="是",V6设置!$B16,V6设置!$B24))</x:f>
        <x:v>#NAME?</x:v>
      </x:c>
      <x:c r="N9" s="60" t="e">
        <x:f>IF(B9="未启用","",H9*IF(D9="是",V6设置!$C16,V6设置!$C24))</x:f>
        <x:v>#NAME?</x:v>
      </x:c>
      <x:c r="O9" s="60" t="e">
        <x:f>IF(B9="未启用","",I9*IF(D9="是",V6设置!$D16,V6设置!$D24))</x:f>
        <x:v>#NAME?</x:v>
      </x:c>
      <x:c r="P9" s="60" t="e">
        <x:f>IF(B9="未启用","",G9*IF(D9="是",V6设置!$B17,V6设置!$B25))</x:f>
        <x:v>#NAME?</x:v>
      </x:c>
      <x:c r="Q9" s="60" t="e">
        <x:f>IF(B9="未启用","",H9*IF(D9="是",V6设置!$C17,V6设置!$C25))</x:f>
        <x:v>#NAME?</x:v>
      </x:c>
      <x:c r="R9" s="60" t="e">
        <x:f>IF(B9="未启用","",I9*IF(D9="是",V6设置!$D17,V6设置!$D25))</x:f>
        <x:v>#NAME?</x:v>
      </x:c>
      <x:c r="S9" s="60" t="e">
        <x:f>IF(B9="未启用","",G9*IF(D9="是",V6设置!$B18,V6设置!$B26))</x:f>
        <x:v>#NAME?</x:v>
      </x:c>
      <x:c r="T9" s="60" t="e">
        <x:f>IF(B9="未启用","",H9*IF(D9="是",V6设置!$C18,V6设置!$C26))</x:f>
        <x:v>#NAME?</x:v>
      </x:c>
      <x:c r="U9" s="60" t="e">
        <x:f>IF(B9="未启用","",I9*IF(D9="是",V6设置!$D18,V6设置!$D26))</x:f>
        <x:v>#NAME?</x:v>
      </x:c>
    </x:row>
    <x:row r="10" ht="13.899999618530273">
      <x:c r="A10" s="58">
        <x:v>6</x:v>
      </x:c>
      <x:c r="B10" s="58" t="e">
        <x:f>V6周期计划!B25</x:f>
        <x:v>#NAME?</x:v>
      </x:c>
      <x:c r="C10" s="58" t="e">
        <x:f>IF(B10="未启用","",V6周期计划!C25)</x:f>
        <x:v>#NAME?</x:v>
      </x:c>
      <x:c r="D10" s="58" t="e">
        <x:f>IF(B10="未启用","",V6周期计划!D25)</x:f>
        <x:v>#NAME?</x:v>
      </x:c>
      <x:c r="E10" s="58" t="e">
        <x:f>IF(B10="未启用","",V6周期计划!E25)</x:f>
        <x:v>#NAME?</x:v>
      </x:c>
      <x:c r="F10" s="58" t="e">
        <x:f>IF(B10="未启用","",V6周期计划!F25)</x:f>
        <x:v>#NAME?</x:v>
      </x:c>
      <x:c r="G10" s="59" t="e">
        <x:f>IF(B10="未启用","",V6周期计划!G25)</x:f>
        <x:v>#NAME?</x:v>
      </x:c>
      <x:c r="H10" s="59" t="e">
        <x:f>IF(B10="未启用","",V6周期计划!H25)</x:f>
        <x:v>#NAME?</x:v>
      </x:c>
      <x:c r="I10" s="59" t="e">
        <x:f>IF(B10="未启用","",V6周期计划!I25)</x:f>
        <x:v>#NAME?</x:v>
      </x:c>
      <x:c r="J10" s="60" t="e">
        <x:f>IF(B10="未启用","",G10*IF(D10="是",V6设置!$B15,V6设置!$B23))</x:f>
        <x:v>#NAME?</x:v>
      </x:c>
      <x:c r="K10" s="60" t="e">
        <x:f>IF(B10="未启用","",H10*IF(D10="是",V6设置!$C15,V6设置!$C23))</x:f>
        <x:v>#NAME?</x:v>
      </x:c>
      <x:c r="L10" s="60" t="e">
        <x:f>IF(B10="未启用","",I10*IF(D10="是",V6设置!$D15,V6设置!$D23))</x:f>
        <x:v>#NAME?</x:v>
      </x:c>
      <x:c r="M10" s="60" t="e">
        <x:f>IF(B10="未启用","",G10*IF(D10="是",V6设置!$B16,V6设置!$B24))</x:f>
        <x:v>#NAME?</x:v>
      </x:c>
      <x:c r="N10" s="60" t="e">
        <x:f>IF(B10="未启用","",H10*IF(D10="是",V6设置!$C16,V6设置!$C24))</x:f>
        <x:v>#NAME?</x:v>
      </x:c>
      <x:c r="O10" s="60" t="e">
        <x:f>IF(B10="未启用","",I10*IF(D10="是",V6设置!$D16,V6设置!$D24))</x:f>
        <x:v>#NAME?</x:v>
      </x:c>
      <x:c r="P10" s="60" t="e">
        <x:f>IF(B10="未启用","",G10*IF(D10="是",V6设置!$B17,V6设置!$B25))</x:f>
        <x:v>#NAME?</x:v>
      </x:c>
      <x:c r="Q10" s="60" t="e">
        <x:f>IF(B10="未启用","",H10*IF(D10="是",V6设置!$C17,V6设置!$C25))</x:f>
        <x:v>#NAME?</x:v>
      </x:c>
      <x:c r="R10" s="60" t="e">
        <x:f>IF(B10="未启用","",I10*IF(D10="是",V6设置!$D17,V6设置!$D25))</x:f>
        <x:v>#NAME?</x:v>
      </x:c>
      <x:c r="S10" s="60" t="e">
        <x:f>IF(B10="未启用","",G10*IF(D10="是",V6设置!$B18,V6设置!$B26))</x:f>
        <x:v>#NAME?</x:v>
      </x:c>
      <x:c r="T10" s="60" t="e">
        <x:f>IF(B10="未启用","",H10*IF(D10="是",V6设置!$C18,V6设置!$C26))</x:f>
        <x:v>#NAME?</x:v>
      </x:c>
      <x:c r="U10" s="60" t="e">
        <x:f>IF(B10="未启用","",I10*IF(D10="是",V6设置!$D18,V6设置!$D26))</x:f>
        <x:v>#NAME?</x:v>
      </x:c>
    </x:row>
    <x:row r="11" ht="13.899999618530273">
      <x:c r="A11" s="58">
        <x:v>7</x:v>
      </x:c>
      <x:c r="B11" s="58" t="e">
        <x:f>V6周期计划!B26</x:f>
        <x:v>#NAME?</x:v>
      </x:c>
      <x:c r="C11" s="58" t="e">
        <x:f>IF(B11="未启用","",V6周期计划!C26)</x:f>
        <x:v>#NAME?</x:v>
      </x:c>
      <x:c r="D11" s="58" t="e">
        <x:f>IF(B11="未启用","",V6周期计划!D26)</x:f>
        <x:v>#NAME?</x:v>
      </x:c>
      <x:c r="E11" s="58" t="e">
        <x:f>IF(B11="未启用","",V6周期计划!E26)</x:f>
        <x:v>#NAME?</x:v>
      </x:c>
      <x:c r="F11" s="58" t="e">
        <x:f>IF(B11="未启用","",V6周期计划!F26)</x:f>
        <x:v>#NAME?</x:v>
      </x:c>
      <x:c r="G11" s="59" t="e">
        <x:f>IF(B11="未启用","",V6周期计划!G26)</x:f>
        <x:v>#NAME?</x:v>
      </x:c>
      <x:c r="H11" s="59" t="e">
        <x:f>IF(B11="未启用","",V6周期计划!H26)</x:f>
        <x:v>#NAME?</x:v>
      </x:c>
      <x:c r="I11" s="59" t="e">
        <x:f>IF(B11="未启用","",V6周期计划!I26)</x:f>
        <x:v>#NAME?</x:v>
      </x:c>
      <x:c r="J11" s="60" t="e">
        <x:f>IF(B11="未启用","",G11*IF(D11="是",V6设置!$B15,V6设置!$B23))</x:f>
        <x:v>#NAME?</x:v>
      </x:c>
      <x:c r="K11" s="60" t="e">
        <x:f>IF(B11="未启用","",H11*IF(D11="是",V6设置!$C15,V6设置!$C23))</x:f>
        <x:v>#NAME?</x:v>
      </x:c>
      <x:c r="L11" s="60" t="e">
        <x:f>IF(B11="未启用","",I11*IF(D11="是",V6设置!$D15,V6设置!$D23))</x:f>
        <x:v>#NAME?</x:v>
      </x:c>
      <x:c r="M11" s="60" t="e">
        <x:f>IF(B11="未启用","",G11*IF(D11="是",V6设置!$B16,V6设置!$B24))</x:f>
        <x:v>#NAME?</x:v>
      </x:c>
      <x:c r="N11" s="60" t="e">
        <x:f>IF(B11="未启用","",H11*IF(D11="是",V6设置!$C16,V6设置!$C24))</x:f>
        <x:v>#NAME?</x:v>
      </x:c>
      <x:c r="O11" s="60" t="e">
        <x:f>IF(B11="未启用","",I11*IF(D11="是",V6设置!$D16,V6设置!$D24))</x:f>
        <x:v>#NAME?</x:v>
      </x:c>
      <x:c r="P11" s="60" t="e">
        <x:f>IF(B11="未启用","",G11*IF(D11="是",V6设置!$B17,V6设置!$B25))</x:f>
        <x:v>#NAME?</x:v>
      </x:c>
      <x:c r="Q11" s="60" t="e">
        <x:f>IF(B11="未启用","",H11*IF(D11="是",V6设置!$C17,V6设置!$C25))</x:f>
        <x:v>#NAME?</x:v>
      </x:c>
      <x:c r="R11" s="60" t="e">
        <x:f>IF(B11="未启用","",I11*IF(D11="是",V6设置!$D17,V6设置!$D25))</x:f>
        <x:v>#NAME?</x:v>
      </x:c>
      <x:c r="S11" s="60" t="e">
        <x:f>IF(B11="未启用","",G11*IF(D11="是",V6设置!$B18,V6设置!$B26))</x:f>
        <x:v>#NAME?</x:v>
      </x:c>
      <x:c r="T11" s="60" t="e">
        <x:f>IF(B11="未启用","",H11*IF(D11="是",V6设置!$C18,V6设置!$C26))</x:f>
        <x:v>#NAME?</x:v>
      </x:c>
      <x:c r="U11" s="60" t="e">
        <x:f>IF(B11="未启用","",I11*IF(D11="是",V6设置!$D18,V6设置!$D26))</x:f>
        <x:v>#NAME?</x:v>
      </x:c>
    </x:row>
    <x:row r="12" ht="13.899999618530273">
      <x:c r="A12" s="58">
        <x:v>8</x:v>
      </x:c>
      <x:c r="B12" s="58" t="e">
        <x:f>V6周期计划!B27</x:f>
        <x:v>#NAME?</x:v>
      </x:c>
      <x:c r="C12" s="58" t="e">
        <x:f>IF(B12="未启用","",V6周期计划!C27)</x:f>
        <x:v>#NAME?</x:v>
      </x:c>
      <x:c r="D12" s="58" t="e">
        <x:f>IF(B12="未启用","",V6周期计划!D27)</x:f>
        <x:v>#NAME?</x:v>
      </x:c>
      <x:c r="E12" s="58" t="e">
        <x:f>IF(B12="未启用","",V6周期计划!E27)</x:f>
        <x:v>#NAME?</x:v>
      </x:c>
      <x:c r="F12" s="58" t="e">
        <x:f>IF(B12="未启用","",V6周期计划!F27)</x:f>
        <x:v>#NAME?</x:v>
      </x:c>
      <x:c r="G12" s="59" t="e">
        <x:f>IF(B12="未启用","",V6周期计划!G27)</x:f>
        <x:v>#NAME?</x:v>
      </x:c>
      <x:c r="H12" s="59" t="e">
        <x:f>IF(B12="未启用","",V6周期计划!H27)</x:f>
        <x:v>#NAME?</x:v>
      </x:c>
      <x:c r="I12" s="59" t="e">
        <x:f>IF(B12="未启用","",V6周期计划!I27)</x:f>
        <x:v>#NAME?</x:v>
      </x:c>
      <x:c r="J12" s="60" t="e">
        <x:f>IF(B12="未启用","",G12*IF(D12="是",V6设置!$B15,V6设置!$B23))</x:f>
        <x:v>#NAME?</x:v>
      </x:c>
      <x:c r="K12" s="60" t="e">
        <x:f>IF(B12="未启用","",H12*IF(D12="是",V6设置!$C15,V6设置!$C23))</x:f>
        <x:v>#NAME?</x:v>
      </x:c>
      <x:c r="L12" s="60" t="e">
        <x:f>IF(B12="未启用","",I12*IF(D12="是",V6设置!$D15,V6设置!$D23))</x:f>
        <x:v>#NAME?</x:v>
      </x:c>
      <x:c r="M12" s="60" t="e">
        <x:f>IF(B12="未启用","",G12*IF(D12="是",V6设置!$B16,V6设置!$B24))</x:f>
        <x:v>#NAME?</x:v>
      </x:c>
      <x:c r="N12" s="60" t="e">
        <x:f>IF(B12="未启用","",H12*IF(D12="是",V6设置!$C16,V6设置!$C24))</x:f>
        <x:v>#NAME?</x:v>
      </x:c>
      <x:c r="O12" s="60" t="e">
        <x:f>IF(B12="未启用","",I12*IF(D12="是",V6设置!$D16,V6设置!$D24))</x:f>
        <x:v>#NAME?</x:v>
      </x:c>
      <x:c r="P12" s="60" t="e">
        <x:f>IF(B12="未启用","",G12*IF(D12="是",V6设置!$B17,V6设置!$B25))</x:f>
        <x:v>#NAME?</x:v>
      </x:c>
      <x:c r="Q12" s="60" t="e">
        <x:f>IF(B12="未启用","",H12*IF(D12="是",V6设置!$C17,V6设置!$C25))</x:f>
        <x:v>#NAME?</x:v>
      </x:c>
      <x:c r="R12" s="60" t="e">
        <x:f>IF(B12="未启用","",I12*IF(D12="是",V6设置!$D17,V6设置!$D25))</x:f>
        <x:v>#NAME?</x:v>
      </x:c>
      <x:c r="S12" s="60" t="e">
        <x:f>IF(B12="未启用","",G12*IF(D12="是",V6设置!$B18,V6设置!$B26))</x:f>
        <x:v>#NAME?</x:v>
      </x:c>
      <x:c r="T12" s="60" t="e">
        <x:f>IF(B12="未启用","",H12*IF(D12="是",V6设置!$C18,V6设置!$C26))</x:f>
        <x:v>#NAME?</x:v>
      </x:c>
      <x:c r="U12" s="60" t="e">
        <x:f>IF(B12="未启用","",I12*IF(D12="是",V6设置!$D18,V6设置!$D26))</x:f>
        <x:v>#NAME?</x:v>
      </x:c>
    </x:row>
    <x:row r="13" ht="13.899999618530273">
      <x:c r="A13" s="58">
        <x:v>9</x:v>
      </x:c>
      <x:c r="B13" s="58" t="e">
        <x:f>V6周期计划!B28</x:f>
        <x:v>#NAME?</x:v>
      </x:c>
      <x:c r="C13" s="58" t="e">
        <x:f>IF(B13="未启用","",V6周期计划!C28)</x:f>
        <x:v>#NAME?</x:v>
      </x:c>
      <x:c r="D13" s="58" t="e">
        <x:f>IF(B13="未启用","",V6周期计划!D28)</x:f>
        <x:v>#NAME?</x:v>
      </x:c>
      <x:c r="E13" s="58" t="e">
        <x:f>IF(B13="未启用","",V6周期计划!E28)</x:f>
        <x:v>#NAME?</x:v>
      </x:c>
      <x:c r="F13" s="58" t="e">
        <x:f>IF(B13="未启用","",V6周期计划!F28)</x:f>
        <x:v>#NAME?</x:v>
      </x:c>
      <x:c r="G13" s="59" t="e">
        <x:f>IF(B13="未启用","",V6周期计划!G28)</x:f>
        <x:v>#NAME?</x:v>
      </x:c>
      <x:c r="H13" s="59" t="e">
        <x:f>IF(B13="未启用","",V6周期计划!H28)</x:f>
        <x:v>#NAME?</x:v>
      </x:c>
      <x:c r="I13" s="59" t="e">
        <x:f>IF(B13="未启用","",V6周期计划!I28)</x:f>
        <x:v>#NAME?</x:v>
      </x:c>
      <x:c r="J13" s="60" t="e">
        <x:f>IF(B13="未启用","",G13*IF(D13="是",V6设置!$B15,V6设置!$B23))</x:f>
        <x:v>#NAME?</x:v>
      </x:c>
      <x:c r="K13" s="60" t="e">
        <x:f>IF(B13="未启用","",H13*IF(D13="是",V6设置!$C15,V6设置!$C23))</x:f>
        <x:v>#NAME?</x:v>
      </x:c>
      <x:c r="L13" s="60" t="e">
        <x:f>IF(B13="未启用","",I13*IF(D13="是",V6设置!$D15,V6设置!$D23))</x:f>
        <x:v>#NAME?</x:v>
      </x:c>
      <x:c r="M13" s="60" t="e">
        <x:f>IF(B13="未启用","",G13*IF(D13="是",V6设置!$B16,V6设置!$B24))</x:f>
        <x:v>#NAME?</x:v>
      </x:c>
      <x:c r="N13" s="60" t="e">
        <x:f>IF(B13="未启用","",H13*IF(D13="是",V6设置!$C16,V6设置!$C24))</x:f>
        <x:v>#NAME?</x:v>
      </x:c>
      <x:c r="O13" s="60" t="e">
        <x:f>IF(B13="未启用","",I13*IF(D13="是",V6设置!$D16,V6设置!$D24))</x:f>
        <x:v>#NAME?</x:v>
      </x:c>
      <x:c r="P13" s="60" t="e">
        <x:f>IF(B13="未启用","",G13*IF(D13="是",V6设置!$B17,V6设置!$B25))</x:f>
        <x:v>#NAME?</x:v>
      </x:c>
      <x:c r="Q13" s="60" t="e">
        <x:f>IF(B13="未启用","",H13*IF(D13="是",V6设置!$C17,V6设置!$C25))</x:f>
        <x:v>#NAME?</x:v>
      </x:c>
      <x:c r="R13" s="60" t="e">
        <x:f>IF(B13="未启用","",I13*IF(D13="是",V6设置!$D17,V6设置!$D25))</x:f>
        <x:v>#NAME?</x:v>
      </x:c>
      <x:c r="S13" s="60" t="e">
        <x:f>IF(B13="未启用","",G13*IF(D13="是",V6设置!$B18,V6设置!$B26))</x:f>
        <x:v>#NAME?</x:v>
      </x:c>
      <x:c r="T13" s="60" t="e">
        <x:f>IF(B13="未启用","",H13*IF(D13="是",V6设置!$C18,V6设置!$C26))</x:f>
        <x:v>#NAME?</x:v>
      </x:c>
      <x:c r="U13" s="60" t="e">
        <x:f>IF(B13="未启用","",I13*IF(D13="是",V6设置!$D18,V6设置!$D26))</x:f>
        <x:v>#NAME?</x:v>
      </x:c>
    </x:row>
    <x:row r="14" ht="13.899999618530273">
      <x:c r="A14" s="58">
        <x:v>10</x:v>
      </x:c>
      <x:c r="B14" s="58" t="e">
        <x:f>V6周期计划!B29</x:f>
        <x:v>#NAME?</x:v>
      </x:c>
      <x:c r="C14" s="58" t="e">
        <x:f>IF(B14="未启用","",V6周期计划!C29)</x:f>
        <x:v>#NAME?</x:v>
      </x:c>
      <x:c r="D14" s="58" t="e">
        <x:f>IF(B14="未启用","",V6周期计划!D29)</x:f>
        <x:v>#NAME?</x:v>
      </x:c>
      <x:c r="E14" s="58" t="e">
        <x:f>IF(B14="未启用","",V6周期计划!E29)</x:f>
        <x:v>#NAME?</x:v>
      </x:c>
      <x:c r="F14" s="58" t="e">
        <x:f>IF(B14="未启用","",V6周期计划!F29)</x:f>
        <x:v>#NAME?</x:v>
      </x:c>
      <x:c r="G14" s="59" t="e">
        <x:f>IF(B14="未启用","",V6周期计划!G29)</x:f>
        <x:v>#NAME?</x:v>
      </x:c>
      <x:c r="H14" s="59" t="e">
        <x:f>IF(B14="未启用","",V6周期计划!H29)</x:f>
        <x:v>#NAME?</x:v>
      </x:c>
      <x:c r="I14" s="59" t="e">
        <x:f>IF(B14="未启用","",V6周期计划!I29)</x:f>
        <x:v>#NAME?</x:v>
      </x:c>
      <x:c r="J14" s="60" t="e">
        <x:f>IF(B14="未启用","",G14*IF(D14="是",V6设置!$B15,V6设置!$B23))</x:f>
        <x:v>#NAME?</x:v>
      </x:c>
      <x:c r="K14" s="60" t="e">
        <x:f>IF(B14="未启用","",H14*IF(D14="是",V6设置!$C15,V6设置!$C23))</x:f>
        <x:v>#NAME?</x:v>
      </x:c>
      <x:c r="L14" s="60" t="e">
        <x:f>IF(B14="未启用","",I14*IF(D14="是",V6设置!$D15,V6设置!$D23))</x:f>
        <x:v>#NAME?</x:v>
      </x:c>
      <x:c r="M14" s="60" t="e">
        <x:f>IF(B14="未启用","",G14*IF(D14="是",V6设置!$B16,V6设置!$B24))</x:f>
        <x:v>#NAME?</x:v>
      </x:c>
      <x:c r="N14" s="60" t="e">
        <x:f>IF(B14="未启用","",H14*IF(D14="是",V6设置!$C16,V6设置!$C24))</x:f>
        <x:v>#NAME?</x:v>
      </x:c>
      <x:c r="O14" s="60" t="e">
        <x:f>IF(B14="未启用","",I14*IF(D14="是",V6设置!$D16,V6设置!$D24))</x:f>
        <x:v>#NAME?</x:v>
      </x:c>
      <x:c r="P14" s="60" t="e">
        <x:f>IF(B14="未启用","",G14*IF(D14="是",V6设置!$B17,V6设置!$B25))</x:f>
        <x:v>#NAME?</x:v>
      </x:c>
      <x:c r="Q14" s="60" t="e">
        <x:f>IF(B14="未启用","",H14*IF(D14="是",V6设置!$C17,V6设置!$C25))</x:f>
        <x:v>#NAME?</x:v>
      </x:c>
      <x:c r="R14" s="60" t="e">
        <x:f>IF(B14="未启用","",I14*IF(D14="是",V6设置!$D17,V6设置!$D25))</x:f>
        <x:v>#NAME?</x:v>
      </x:c>
      <x:c r="S14" s="60" t="e">
        <x:f>IF(B14="未启用","",G14*IF(D14="是",V6设置!$B18,V6设置!$B26))</x:f>
        <x:v>#NAME?</x:v>
      </x:c>
      <x:c r="T14" s="60" t="e">
        <x:f>IF(B14="未启用","",H14*IF(D14="是",V6设置!$C18,V6设置!$C26))</x:f>
        <x:v>#NAME?</x:v>
      </x:c>
      <x:c r="U14" s="60" t="e">
        <x:f>IF(B14="未启用","",I14*IF(D14="是",V6设置!$D18,V6设置!$D26))</x:f>
        <x:v>#NAME?</x:v>
      </x:c>
    </x:row>
    <x:row r="15" ht="13.899999618530273">
      <x:c r="A15" s="58">
        <x:v>11</x:v>
      </x:c>
      <x:c r="B15" s="58" t="e">
        <x:f>V6周期计划!B30</x:f>
        <x:v>#NAME?</x:v>
      </x:c>
      <x:c r="C15" s="58" t="e">
        <x:f>IF(B15="未启用","",V6周期计划!C30)</x:f>
        <x:v>#NAME?</x:v>
      </x:c>
      <x:c r="D15" s="58" t="e">
        <x:f>IF(B15="未启用","",V6周期计划!D30)</x:f>
        <x:v>#NAME?</x:v>
      </x:c>
      <x:c r="E15" s="58" t="e">
        <x:f>IF(B15="未启用","",V6周期计划!E30)</x:f>
        <x:v>#NAME?</x:v>
      </x:c>
      <x:c r="F15" s="58" t="e">
        <x:f>IF(B15="未启用","",V6周期计划!F30)</x:f>
        <x:v>#NAME?</x:v>
      </x:c>
      <x:c r="G15" s="59" t="e">
        <x:f>IF(B15="未启用","",V6周期计划!G30)</x:f>
        <x:v>#NAME?</x:v>
      </x:c>
      <x:c r="H15" s="59" t="e">
        <x:f>IF(B15="未启用","",V6周期计划!H30)</x:f>
        <x:v>#NAME?</x:v>
      </x:c>
      <x:c r="I15" s="59" t="e">
        <x:f>IF(B15="未启用","",V6周期计划!I30)</x:f>
        <x:v>#NAME?</x:v>
      </x:c>
      <x:c r="J15" s="60" t="e">
        <x:f>IF(B15="未启用","",G15*IF(D15="是",V6设置!$B15,V6设置!$B23))</x:f>
        <x:v>#NAME?</x:v>
      </x:c>
      <x:c r="K15" s="60" t="e">
        <x:f>IF(B15="未启用","",H15*IF(D15="是",V6设置!$C15,V6设置!$C23))</x:f>
        <x:v>#NAME?</x:v>
      </x:c>
      <x:c r="L15" s="60" t="e">
        <x:f>IF(B15="未启用","",I15*IF(D15="是",V6设置!$D15,V6设置!$D23))</x:f>
        <x:v>#NAME?</x:v>
      </x:c>
      <x:c r="M15" s="60" t="e">
        <x:f>IF(B15="未启用","",G15*IF(D15="是",V6设置!$B16,V6设置!$B24))</x:f>
        <x:v>#NAME?</x:v>
      </x:c>
      <x:c r="N15" s="60" t="e">
        <x:f>IF(B15="未启用","",H15*IF(D15="是",V6设置!$C16,V6设置!$C24))</x:f>
        <x:v>#NAME?</x:v>
      </x:c>
      <x:c r="O15" s="60" t="e">
        <x:f>IF(B15="未启用","",I15*IF(D15="是",V6设置!$D16,V6设置!$D24))</x:f>
        <x:v>#NAME?</x:v>
      </x:c>
      <x:c r="P15" s="60" t="e">
        <x:f>IF(B15="未启用","",G15*IF(D15="是",V6设置!$B17,V6设置!$B25))</x:f>
        <x:v>#NAME?</x:v>
      </x:c>
      <x:c r="Q15" s="60" t="e">
        <x:f>IF(B15="未启用","",H15*IF(D15="是",V6设置!$C17,V6设置!$C25))</x:f>
        <x:v>#NAME?</x:v>
      </x:c>
      <x:c r="R15" s="60" t="e">
        <x:f>IF(B15="未启用","",I15*IF(D15="是",V6设置!$D17,V6设置!$D25))</x:f>
        <x:v>#NAME?</x:v>
      </x:c>
      <x:c r="S15" s="60" t="e">
        <x:f>IF(B15="未启用","",G15*IF(D15="是",V6设置!$B18,V6设置!$B26))</x:f>
        <x:v>#NAME?</x:v>
      </x:c>
      <x:c r="T15" s="60" t="e">
        <x:f>IF(B15="未启用","",H15*IF(D15="是",V6设置!$C18,V6设置!$C26))</x:f>
        <x:v>#NAME?</x:v>
      </x:c>
      <x:c r="U15" s="60" t="e">
        <x:f>IF(B15="未启用","",I15*IF(D15="是",V6设置!$D18,V6设置!$D26))</x:f>
        <x:v>#NAME?</x:v>
      </x:c>
    </x:row>
    <x:row r="16" ht="13.899999618530273">
      <x:c r="A16" s="58">
        <x:v>12</x:v>
      </x:c>
      <x:c r="B16" s="58" t="e">
        <x:f>V6周期计划!B31</x:f>
        <x:v>#NAME?</x:v>
      </x:c>
      <x:c r="C16" s="58" t="e">
        <x:f>IF(B16="未启用","",V6周期计划!C31)</x:f>
        <x:v>#NAME?</x:v>
      </x:c>
      <x:c r="D16" s="58" t="e">
        <x:f>IF(B16="未启用","",V6周期计划!D31)</x:f>
        <x:v>#NAME?</x:v>
      </x:c>
      <x:c r="E16" s="58" t="e">
        <x:f>IF(B16="未启用","",V6周期计划!E31)</x:f>
        <x:v>#NAME?</x:v>
      </x:c>
      <x:c r="F16" s="58" t="e">
        <x:f>IF(B16="未启用","",V6周期计划!F31)</x:f>
        <x:v>#NAME?</x:v>
      </x:c>
      <x:c r="G16" s="59" t="e">
        <x:f>IF(B16="未启用","",V6周期计划!G31)</x:f>
        <x:v>#NAME?</x:v>
      </x:c>
      <x:c r="H16" s="59" t="e">
        <x:f>IF(B16="未启用","",V6周期计划!H31)</x:f>
        <x:v>#NAME?</x:v>
      </x:c>
      <x:c r="I16" s="59" t="e">
        <x:f>IF(B16="未启用","",V6周期计划!I31)</x:f>
        <x:v>#NAME?</x:v>
      </x:c>
      <x:c r="J16" s="60" t="e">
        <x:f>IF(B16="未启用","",G16*IF(D16="是",V6设置!$B15,V6设置!$B23))</x:f>
        <x:v>#NAME?</x:v>
      </x:c>
      <x:c r="K16" s="60" t="e">
        <x:f>IF(B16="未启用","",H16*IF(D16="是",V6设置!$C15,V6设置!$C23))</x:f>
        <x:v>#NAME?</x:v>
      </x:c>
      <x:c r="L16" s="60" t="e">
        <x:f>IF(B16="未启用","",I16*IF(D16="是",V6设置!$D15,V6设置!$D23))</x:f>
        <x:v>#NAME?</x:v>
      </x:c>
      <x:c r="M16" s="60" t="e">
        <x:f>IF(B16="未启用","",G16*IF(D16="是",V6设置!$B16,V6设置!$B24))</x:f>
        <x:v>#NAME?</x:v>
      </x:c>
      <x:c r="N16" s="60" t="e">
        <x:f>IF(B16="未启用","",H16*IF(D16="是",V6设置!$C16,V6设置!$C24))</x:f>
        <x:v>#NAME?</x:v>
      </x:c>
      <x:c r="O16" s="60" t="e">
        <x:f>IF(B16="未启用","",I16*IF(D16="是",V6设置!$D16,V6设置!$D24))</x:f>
        <x:v>#NAME?</x:v>
      </x:c>
      <x:c r="P16" s="60" t="e">
        <x:f>IF(B16="未启用","",G16*IF(D16="是",V6设置!$B17,V6设置!$B25))</x:f>
        <x:v>#NAME?</x:v>
      </x:c>
      <x:c r="Q16" s="60" t="e">
        <x:f>IF(B16="未启用","",H16*IF(D16="是",V6设置!$C17,V6设置!$C25))</x:f>
        <x:v>#NAME?</x:v>
      </x:c>
      <x:c r="R16" s="60" t="e">
        <x:f>IF(B16="未启用","",I16*IF(D16="是",V6设置!$D17,V6设置!$D25))</x:f>
        <x:v>#NAME?</x:v>
      </x:c>
      <x:c r="S16" s="60" t="e">
        <x:f>IF(B16="未启用","",G16*IF(D16="是",V6设置!$B18,V6设置!$B26))</x:f>
        <x:v>#NAME?</x:v>
      </x:c>
      <x:c r="T16" s="60" t="e">
        <x:f>IF(B16="未启用","",H16*IF(D16="是",V6设置!$C18,V6设置!$C26))</x:f>
        <x:v>#NAME?</x:v>
      </x:c>
      <x:c r="U16" s="60" t="e">
        <x:f>IF(B16="未启用","",I16*IF(D16="是",V6设置!$D18,V6设置!$D26))</x:f>
        <x:v>#NAME?</x:v>
      </x:c>
    </x:row>
    <x:row r="17" ht="13.899999618530273">
      <x:c r="A17" s="58">
        <x:v>13</x:v>
      </x:c>
      <x:c r="B17" s="58" t="e">
        <x:f>V6周期计划!B32</x:f>
        <x:v>#NAME?</x:v>
      </x:c>
      <x:c r="C17" s="58" t="e">
        <x:f>IF(B17="未启用","",V6周期计划!C32)</x:f>
        <x:v>#NAME?</x:v>
      </x:c>
      <x:c r="D17" s="58" t="e">
        <x:f>IF(B17="未启用","",V6周期计划!D32)</x:f>
        <x:v>#NAME?</x:v>
      </x:c>
      <x:c r="E17" s="58" t="e">
        <x:f>IF(B17="未启用","",V6周期计划!E32)</x:f>
        <x:v>#NAME?</x:v>
      </x:c>
      <x:c r="F17" s="58" t="e">
        <x:f>IF(B17="未启用","",V6周期计划!F32)</x:f>
        <x:v>#NAME?</x:v>
      </x:c>
      <x:c r="G17" s="59" t="e">
        <x:f>IF(B17="未启用","",V6周期计划!G32)</x:f>
        <x:v>#NAME?</x:v>
      </x:c>
      <x:c r="H17" s="59" t="e">
        <x:f>IF(B17="未启用","",V6周期计划!H32)</x:f>
        <x:v>#NAME?</x:v>
      </x:c>
      <x:c r="I17" s="59" t="e">
        <x:f>IF(B17="未启用","",V6周期计划!I32)</x:f>
        <x:v>#NAME?</x:v>
      </x:c>
      <x:c r="J17" s="60" t="e">
        <x:f>IF(B17="未启用","",G17*IF(D17="是",V6设置!$B15,V6设置!$B23))</x:f>
        <x:v>#NAME?</x:v>
      </x:c>
      <x:c r="K17" s="60" t="e">
        <x:f>IF(B17="未启用","",H17*IF(D17="是",V6设置!$C15,V6设置!$C23))</x:f>
        <x:v>#NAME?</x:v>
      </x:c>
      <x:c r="L17" s="60" t="e">
        <x:f>IF(B17="未启用","",I17*IF(D17="是",V6设置!$D15,V6设置!$D23))</x:f>
        <x:v>#NAME?</x:v>
      </x:c>
      <x:c r="M17" s="60" t="e">
        <x:f>IF(B17="未启用","",G17*IF(D17="是",V6设置!$B16,V6设置!$B24))</x:f>
        <x:v>#NAME?</x:v>
      </x:c>
      <x:c r="N17" s="60" t="e">
        <x:f>IF(B17="未启用","",H17*IF(D17="是",V6设置!$C16,V6设置!$C24))</x:f>
        <x:v>#NAME?</x:v>
      </x:c>
      <x:c r="O17" s="60" t="e">
        <x:f>IF(B17="未启用","",I17*IF(D17="是",V6设置!$D16,V6设置!$D24))</x:f>
        <x:v>#NAME?</x:v>
      </x:c>
      <x:c r="P17" s="60" t="e">
        <x:f>IF(B17="未启用","",G17*IF(D17="是",V6设置!$B17,V6设置!$B25))</x:f>
        <x:v>#NAME?</x:v>
      </x:c>
      <x:c r="Q17" s="60" t="e">
        <x:f>IF(B17="未启用","",H17*IF(D17="是",V6设置!$C17,V6设置!$C25))</x:f>
        <x:v>#NAME?</x:v>
      </x:c>
      <x:c r="R17" s="60" t="e">
        <x:f>IF(B17="未启用","",I17*IF(D17="是",V6设置!$D17,V6设置!$D25))</x:f>
        <x:v>#NAME?</x:v>
      </x:c>
      <x:c r="S17" s="60" t="e">
        <x:f>IF(B17="未启用","",G17*IF(D17="是",V6设置!$B18,V6设置!$B26))</x:f>
        <x:v>#NAME?</x:v>
      </x:c>
      <x:c r="T17" s="60" t="e">
        <x:f>IF(B17="未启用","",H17*IF(D17="是",V6设置!$C18,V6设置!$C26))</x:f>
        <x:v>#NAME?</x:v>
      </x:c>
      <x:c r="U17" s="60" t="e">
        <x:f>IF(B17="未启用","",I17*IF(D17="是",V6设置!$D18,V6设置!$D26))</x:f>
        <x:v>#NAME?</x:v>
      </x:c>
    </x:row>
    <x:row r="18" ht="13.899999618530273">
      <x:c r="A18" s="58">
        <x:v>14</x:v>
      </x:c>
      <x:c r="B18" s="58" t="e">
        <x:f>V6周期计划!B33</x:f>
        <x:v>#NAME?</x:v>
      </x:c>
      <x:c r="C18" s="58" t="e">
        <x:f>IF(B18="未启用","",V6周期计划!C33)</x:f>
        <x:v>#NAME?</x:v>
      </x:c>
      <x:c r="D18" s="58" t="e">
        <x:f>IF(B18="未启用","",V6周期计划!D33)</x:f>
        <x:v>#NAME?</x:v>
      </x:c>
      <x:c r="E18" s="58" t="e">
        <x:f>IF(B18="未启用","",V6周期计划!E33)</x:f>
        <x:v>#NAME?</x:v>
      </x:c>
      <x:c r="F18" s="58" t="e">
        <x:f>IF(B18="未启用","",V6周期计划!F33)</x:f>
        <x:v>#NAME?</x:v>
      </x:c>
      <x:c r="G18" s="59" t="e">
        <x:f>IF(B18="未启用","",V6周期计划!G33)</x:f>
        <x:v>#NAME?</x:v>
      </x:c>
      <x:c r="H18" s="59" t="e">
        <x:f>IF(B18="未启用","",V6周期计划!H33)</x:f>
        <x:v>#NAME?</x:v>
      </x:c>
      <x:c r="I18" s="59" t="e">
        <x:f>IF(B18="未启用","",V6周期计划!I33)</x:f>
        <x:v>#NAME?</x:v>
      </x:c>
      <x:c r="J18" s="60" t="e">
        <x:f>IF(B18="未启用","",G18*IF(D18="是",V6设置!$B15,V6设置!$B23))</x:f>
        <x:v>#NAME?</x:v>
      </x:c>
      <x:c r="K18" s="60" t="e">
        <x:f>IF(B18="未启用","",H18*IF(D18="是",V6设置!$C15,V6设置!$C23))</x:f>
        <x:v>#NAME?</x:v>
      </x:c>
      <x:c r="L18" s="60" t="e">
        <x:f>IF(B18="未启用","",I18*IF(D18="是",V6设置!$D15,V6设置!$D23))</x:f>
        <x:v>#NAME?</x:v>
      </x:c>
      <x:c r="M18" s="60" t="e">
        <x:f>IF(B18="未启用","",G18*IF(D18="是",V6设置!$B16,V6设置!$B24))</x:f>
        <x:v>#NAME?</x:v>
      </x:c>
      <x:c r="N18" s="60" t="e">
        <x:f>IF(B18="未启用","",H18*IF(D18="是",V6设置!$C16,V6设置!$C24))</x:f>
        <x:v>#NAME?</x:v>
      </x:c>
      <x:c r="O18" s="60" t="e">
        <x:f>IF(B18="未启用","",I18*IF(D18="是",V6设置!$D16,V6设置!$D24))</x:f>
        <x:v>#NAME?</x:v>
      </x:c>
      <x:c r="P18" s="60" t="e">
        <x:f>IF(B18="未启用","",G18*IF(D18="是",V6设置!$B17,V6设置!$B25))</x:f>
        <x:v>#NAME?</x:v>
      </x:c>
      <x:c r="Q18" s="60" t="e">
        <x:f>IF(B18="未启用","",H18*IF(D18="是",V6设置!$C17,V6设置!$C25))</x:f>
        <x:v>#NAME?</x:v>
      </x:c>
      <x:c r="R18" s="60" t="e">
        <x:f>IF(B18="未启用","",I18*IF(D18="是",V6设置!$D17,V6设置!$D25))</x:f>
        <x:v>#NAME?</x:v>
      </x:c>
      <x:c r="S18" s="60" t="e">
        <x:f>IF(B18="未启用","",G18*IF(D18="是",V6设置!$B18,V6设置!$B26))</x:f>
        <x:v>#NAME?</x:v>
      </x:c>
      <x:c r="T18" s="60" t="e">
        <x:f>IF(B18="未启用","",H18*IF(D18="是",V6设置!$C18,V6设置!$C26))</x:f>
        <x:v>#NAME?</x:v>
      </x:c>
      <x:c r="U18" s="60" t="e">
        <x:f>IF(B18="未启用","",I18*IF(D18="是",V6设置!$D18,V6设置!$D26))</x:f>
        <x:v>#NAME?</x:v>
      </x:c>
    </x:row>
    <x:row r="19" ht="13.899999618530273">
      <x:c r="A19" s="58">
        <x:v>15</x:v>
      </x:c>
      <x:c r="B19" s="58" t="e">
        <x:f>V6周期计划!B34</x:f>
        <x:v>#NAME?</x:v>
      </x:c>
      <x:c r="C19" s="58" t="e">
        <x:f>IF(B19="未启用","",V6周期计划!C34)</x:f>
        <x:v>#NAME?</x:v>
      </x:c>
      <x:c r="D19" s="58" t="e">
        <x:f>IF(B19="未启用","",V6周期计划!D34)</x:f>
        <x:v>#NAME?</x:v>
      </x:c>
      <x:c r="E19" s="58" t="e">
        <x:f>IF(B19="未启用","",V6周期计划!E34)</x:f>
        <x:v>#NAME?</x:v>
      </x:c>
      <x:c r="F19" s="58" t="e">
        <x:f>IF(B19="未启用","",V6周期计划!F34)</x:f>
        <x:v>#NAME?</x:v>
      </x:c>
      <x:c r="G19" s="59" t="e">
        <x:f>IF(B19="未启用","",V6周期计划!G34)</x:f>
        <x:v>#NAME?</x:v>
      </x:c>
      <x:c r="H19" s="59" t="e">
        <x:f>IF(B19="未启用","",V6周期计划!H34)</x:f>
        <x:v>#NAME?</x:v>
      </x:c>
      <x:c r="I19" s="59" t="e">
        <x:f>IF(B19="未启用","",V6周期计划!I34)</x:f>
        <x:v>#NAME?</x:v>
      </x:c>
      <x:c r="J19" s="60" t="e">
        <x:f>IF(B19="未启用","",G19*IF(D19="是",V6设置!$B15,V6设置!$B23))</x:f>
        <x:v>#NAME?</x:v>
      </x:c>
      <x:c r="K19" s="60" t="e">
        <x:f>IF(B19="未启用","",H19*IF(D19="是",V6设置!$C15,V6设置!$C23))</x:f>
        <x:v>#NAME?</x:v>
      </x:c>
      <x:c r="L19" s="60" t="e">
        <x:f>IF(B19="未启用","",I19*IF(D19="是",V6设置!$D15,V6设置!$D23))</x:f>
        <x:v>#NAME?</x:v>
      </x:c>
      <x:c r="M19" s="60" t="e">
        <x:f>IF(B19="未启用","",G19*IF(D19="是",V6设置!$B16,V6设置!$B24))</x:f>
        <x:v>#NAME?</x:v>
      </x:c>
      <x:c r="N19" s="60" t="e">
        <x:f>IF(B19="未启用","",H19*IF(D19="是",V6设置!$C16,V6设置!$C24))</x:f>
        <x:v>#NAME?</x:v>
      </x:c>
      <x:c r="O19" s="60" t="e">
        <x:f>IF(B19="未启用","",I19*IF(D19="是",V6设置!$D16,V6设置!$D24))</x:f>
        <x:v>#NAME?</x:v>
      </x:c>
      <x:c r="P19" s="60" t="e">
        <x:f>IF(B19="未启用","",G19*IF(D19="是",V6设置!$B17,V6设置!$B25))</x:f>
        <x:v>#NAME?</x:v>
      </x:c>
      <x:c r="Q19" s="60" t="e">
        <x:f>IF(B19="未启用","",H19*IF(D19="是",V6设置!$C17,V6设置!$C25))</x:f>
        <x:v>#NAME?</x:v>
      </x:c>
      <x:c r="R19" s="60" t="e">
        <x:f>IF(B19="未启用","",I19*IF(D19="是",V6设置!$D17,V6设置!$D25))</x:f>
        <x:v>#NAME?</x:v>
      </x:c>
      <x:c r="S19" s="60" t="e">
        <x:f>IF(B19="未启用","",G19*IF(D19="是",V6设置!$B18,V6设置!$B26))</x:f>
        <x:v>#NAME?</x:v>
      </x:c>
      <x:c r="T19" s="60" t="e">
        <x:f>IF(B19="未启用","",H19*IF(D19="是",V6设置!$C18,V6设置!$C26))</x:f>
        <x:v>#NAME?</x:v>
      </x:c>
      <x:c r="U19" s="60" t="e">
        <x:f>IF(B19="未启用","",I19*IF(D19="是",V6设置!$D18,V6设置!$D26))</x:f>
        <x:v>#NAME?</x:v>
      </x:c>
    </x:row>
    <x:row r="20" ht="13.899999618530273">
      <x:c r="A20" s="58">
        <x:v>16</x:v>
      </x:c>
      <x:c r="B20" s="58" t="e">
        <x:f>V6周期计划!B35</x:f>
        <x:v>#NAME?</x:v>
      </x:c>
      <x:c r="C20" s="58" t="e">
        <x:f>IF(B20="未启用","",V6周期计划!C35)</x:f>
        <x:v>#NAME?</x:v>
      </x:c>
      <x:c r="D20" s="58" t="e">
        <x:f>IF(B20="未启用","",V6周期计划!D35)</x:f>
        <x:v>#NAME?</x:v>
      </x:c>
      <x:c r="E20" s="58" t="e">
        <x:f>IF(B20="未启用","",V6周期计划!E35)</x:f>
        <x:v>#NAME?</x:v>
      </x:c>
      <x:c r="F20" s="58" t="e">
        <x:f>IF(B20="未启用","",V6周期计划!F35)</x:f>
        <x:v>#NAME?</x:v>
      </x:c>
      <x:c r="G20" s="59" t="e">
        <x:f>IF(B20="未启用","",V6周期计划!G35)</x:f>
        <x:v>#NAME?</x:v>
      </x:c>
      <x:c r="H20" s="59" t="e">
        <x:f>IF(B20="未启用","",V6周期计划!H35)</x:f>
        <x:v>#NAME?</x:v>
      </x:c>
      <x:c r="I20" s="59" t="e">
        <x:f>IF(B20="未启用","",V6周期计划!I35)</x:f>
        <x:v>#NAME?</x:v>
      </x:c>
      <x:c r="J20" s="60" t="e">
        <x:f>IF(B20="未启用","",G20*IF(D20="是",V6设置!$B15,V6设置!$B23))</x:f>
        <x:v>#NAME?</x:v>
      </x:c>
      <x:c r="K20" s="60" t="e">
        <x:f>IF(B20="未启用","",H20*IF(D20="是",V6设置!$C15,V6设置!$C23))</x:f>
        <x:v>#NAME?</x:v>
      </x:c>
      <x:c r="L20" s="60" t="e">
        <x:f>IF(B20="未启用","",I20*IF(D20="是",V6设置!$D15,V6设置!$D23))</x:f>
        <x:v>#NAME?</x:v>
      </x:c>
      <x:c r="M20" s="60" t="e">
        <x:f>IF(B20="未启用","",G20*IF(D20="是",V6设置!$B16,V6设置!$B24))</x:f>
        <x:v>#NAME?</x:v>
      </x:c>
      <x:c r="N20" s="60" t="e">
        <x:f>IF(B20="未启用","",H20*IF(D20="是",V6设置!$C16,V6设置!$C24))</x:f>
        <x:v>#NAME?</x:v>
      </x:c>
      <x:c r="O20" s="60" t="e">
        <x:f>IF(B20="未启用","",I20*IF(D20="是",V6设置!$D16,V6设置!$D24))</x:f>
        <x:v>#NAME?</x:v>
      </x:c>
      <x:c r="P20" s="60" t="e">
        <x:f>IF(B20="未启用","",G20*IF(D20="是",V6设置!$B17,V6设置!$B25))</x:f>
        <x:v>#NAME?</x:v>
      </x:c>
      <x:c r="Q20" s="60" t="e">
        <x:f>IF(B20="未启用","",H20*IF(D20="是",V6设置!$C17,V6设置!$C25))</x:f>
        <x:v>#NAME?</x:v>
      </x:c>
      <x:c r="R20" s="60" t="e">
        <x:f>IF(B20="未启用","",I20*IF(D20="是",V6设置!$D17,V6设置!$D25))</x:f>
        <x:v>#NAME?</x:v>
      </x:c>
      <x:c r="S20" s="60" t="e">
        <x:f>IF(B20="未启用","",G20*IF(D20="是",V6设置!$B18,V6设置!$B26))</x:f>
        <x:v>#NAME?</x:v>
      </x:c>
      <x:c r="T20" s="60" t="e">
        <x:f>IF(B20="未启用","",H20*IF(D20="是",V6设置!$C18,V6设置!$C26))</x:f>
        <x:v>#NAME?</x:v>
      </x:c>
      <x:c r="U20" s="60" t="e">
        <x:f>IF(B20="未启用","",I20*IF(D20="是",V6设置!$D18,V6设置!$D26))</x:f>
        <x:v>#NAME?</x:v>
      </x:c>
    </x:row>
    <x:row r="21" ht="13.899999618530273">
      <x:c r="A21" s="58">
        <x:v>17</x:v>
      </x:c>
      <x:c r="B21" s="58" t="e">
        <x:f>V6周期计划!B36</x:f>
        <x:v>#NAME?</x:v>
      </x:c>
      <x:c r="C21" s="58" t="e">
        <x:f>IF(B21="未启用","",V6周期计划!C36)</x:f>
        <x:v>#NAME?</x:v>
      </x:c>
      <x:c r="D21" s="58" t="e">
        <x:f>IF(B21="未启用","",V6周期计划!D36)</x:f>
        <x:v>#NAME?</x:v>
      </x:c>
      <x:c r="E21" s="58" t="e">
        <x:f>IF(B21="未启用","",V6周期计划!E36)</x:f>
        <x:v>#NAME?</x:v>
      </x:c>
      <x:c r="F21" s="58" t="e">
        <x:f>IF(B21="未启用","",V6周期计划!F36)</x:f>
        <x:v>#NAME?</x:v>
      </x:c>
      <x:c r="G21" s="59" t="e">
        <x:f>IF(B21="未启用","",V6周期计划!G36)</x:f>
        <x:v>#NAME?</x:v>
      </x:c>
      <x:c r="H21" s="59" t="e">
        <x:f>IF(B21="未启用","",V6周期计划!H36)</x:f>
        <x:v>#NAME?</x:v>
      </x:c>
      <x:c r="I21" s="59" t="e">
        <x:f>IF(B21="未启用","",V6周期计划!I36)</x:f>
        <x:v>#NAME?</x:v>
      </x:c>
      <x:c r="J21" s="60" t="e">
        <x:f>IF(B21="未启用","",G21*IF(D21="是",V6设置!$B15,V6设置!$B23))</x:f>
        <x:v>#NAME?</x:v>
      </x:c>
      <x:c r="K21" s="60" t="e">
        <x:f>IF(B21="未启用","",H21*IF(D21="是",V6设置!$C15,V6设置!$C23))</x:f>
        <x:v>#NAME?</x:v>
      </x:c>
      <x:c r="L21" s="60" t="e">
        <x:f>IF(B21="未启用","",I21*IF(D21="是",V6设置!$D15,V6设置!$D23))</x:f>
        <x:v>#NAME?</x:v>
      </x:c>
      <x:c r="M21" s="60" t="e">
        <x:f>IF(B21="未启用","",G21*IF(D21="是",V6设置!$B16,V6设置!$B24))</x:f>
        <x:v>#NAME?</x:v>
      </x:c>
      <x:c r="N21" s="60" t="e">
        <x:f>IF(B21="未启用","",H21*IF(D21="是",V6设置!$C16,V6设置!$C24))</x:f>
        <x:v>#NAME?</x:v>
      </x:c>
      <x:c r="O21" s="60" t="e">
        <x:f>IF(B21="未启用","",I21*IF(D21="是",V6设置!$D16,V6设置!$D24))</x:f>
        <x:v>#NAME?</x:v>
      </x:c>
      <x:c r="P21" s="60" t="e">
        <x:f>IF(B21="未启用","",G21*IF(D21="是",V6设置!$B17,V6设置!$B25))</x:f>
        <x:v>#NAME?</x:v>
      </x:c>
      <x:c r="Q21" s="60" t="e">
        <x:f>IF(B21="未启用","",H21*IF(D21="是",V6设置!$C17,V6设置!$C25))</x:f>
        <x:v>#NAME?</x:v>
      </x:c>
      <x:c r="R21" s="60" t="e">
        <x:f>IF(B21="未启用","",I21*IF(D21="是",V6设置!$D17,V6设置!$D25))</x:f>
        <x:v>#NAME?</x:v>
      </x:c>
      <x:c r="S21" s="60" t="e">
        <x:f>IF(B21="未启用","",G21*IF(D21="是",V6设置!$B18,V6设置!$B26))</x:f>
        <x:v>#NAME?</x:v>
      </x:c>
      <x:c r="T21" s="60" t="e">
        <x:f>IF(B21="未启用","",H21*IF(D21="是",V6设置!$C18,V6设置!$C26))</x:f>
        <x:v>#NAME?</x:v>
      </x:c>
      <x:c r="U21" s="60" t="e">
        <x:f>IF(B21="未启用","",I21*IF(D21="是",V6设置!$D18,V6设置!$D26))</x:f>
        <x:v>#NAME?</x:v>
      </x:c>
    </x:row>
    <x:row r="22" ht="13.899999618530273">
      <x:c r="A22" s="58">
        <x:v>18</x:v>
      </x:c>
      <x:c r="B22" s="58" t="e">
        <x:f>V6周期计划!B37</x:f>
        <x:v>#NAME?</x:v>
      </x:c>
      <x:c r="C22" s="58" t="e">
        <x:f>IF(B22="未启用","",V6周期计划!C37)</x:f>
        <x:v>#NAME?</x:v>
      </x:c>
      <x:c r="D22" s="58" t="e">
        <x:f>IF(B22="未启用","",V6周期计划!D37)</x:f>
        <x:v>#NAME?</x:v>
      </x:c>
      <x:c r="E22" s="58" t="e">
        <x:f>IF(B22="未启用","",V6周期计划!E37)</x:f>
        <x:v>#NAME?</x:v>
      </x:c>
      <x:c r="F22" s="58" t="e">
        <x:f>IF(B22="未启用","",V6周期计划!F37)</x:f>
        <x:v>#NAME?</x:v>
      </x:c>
      <x:c r="G22" s="59" t="e">
        <x:f>IF(B22="未启用","",V6周期计划!G37)</x:f>
        <x:v>#NAME?</x:v>
      </x:c>
      <x:c r="H22" s="59" t="e">
        <x:f>IF(B22="未启用","",V6周期计划!H37)</x:f>
        <x:v>#NAME?</x:v>
      </x:c>
      <x:c r="I22" s="59" t="e">
        <x:f>IF(B22="未启用","",V6周期计划!I37)</x:f>
        <x:v>#NAME?</x:v>
      </x:c>
      <x:c r="J22" s="60" t="e">
        <x:f>IF(B22="未启用","",G22*IF(D22="是",V6设置!$B15,V6设置!$B23))</x:f>
        <x:v>#NAME?</x:v>
      </x:c>
      <x:c r="K22" s="60" t="e">
        <x:f>IF(B22="未启用","",H22*IF(D22="是",V6设置!$C15,V6设置!$C23))</x:f>
        <x:v>#NAME?</x:v>
      </x:c>
      <x:c r="L22" s="60" t="e">
        <x:f>IF(B22="未启用","",I22*IF(D22="是",V6设置!$D15,V6设置!$D23))</x:f>
        <x:v>#NAME?</x:v>
      </x:c>
      <x:c r="M22" s="60" t="e">
        <x:f>IF(B22="未启用","",G22*IF(D22="是",V6设置!$B16,V6设置!$B24))</x:f>
        <x:v>#NAME?</x:v>
      </x:c>
      <x:c r="N22" s="60" t="e">
        <x:f>IF(B22="未启用","",H22*IF(D22="是",V6设置!$C16,V6设置!$C24))</x:f>
        <x:v>#NAME?</x:v>
      </x:c>
      <x:c r="O22" s="60" t="e">
        <x:f>IF(B22="未启用","",I22*IF(D22="是",V6设置!$D16,V6设置!$D24))</x:f>
        <x:v>#NAME?</x:v>
      </x:c>
      <x:c r="P22" s="60" t="e">
        <x:f>IF(B22="未启用","",G22*IF(D22="是",V6设置!$B17,V6设置!$B25))</x:f>
        <x:v>#NAME?</x:v>
      </x:c>
      <x:c r="Q22" s="60" t="e">
        <x:f>IF(B22="未启用","",H22*IF(D22="是",V6设置!$C17,V6设置!$C25))</x:f>
        <x:v>#NAME?</x:v>
      </x:c>
      <x:c r="R22" s="60" t="e">
        <x:f>IF(B22="未启用","",I22*IF(D22="是",V6设置!$D17,V6设置!$D25))</x:f>
        <x:v>#NAME?</x:v>
      </x:c>
      <x:c r="S22" s="60" t="e">
        <x:f>IF(B22="未启用","",G22*IF(D22="是",V6设置!$B18,V6设置!$B26))</x:f>
        <x:v>#NAME?</x:v>
      </x:c>
      <x:c r="T22" s="60" t="e">
        <x:f>IF(B22="未启用","",H22*IF(D22="是",V6设置!$C18,V6设置!$C26))</x:f>
        <x:v>#NAME?</x:v>
      </x:c>
      <x:c r="U22" s="60" t="e">
        <x:f>IF(B22="未启用","",I22*IF(D22="是",V6设置!$D18,V6设置!$D26))</x:f>
        <x:v>#NAME?</x:v>
      </x:c>
    </x:row>
    <x:row r="23" ht="13.899999618530273">
      <x:c r="A23" s="58">
        <x:v>19</x:v>
      </x:c>
      <x:c r="B23" s="58" t="e">
        <x:f>V6周期计划!B38</x:f>
        <x:v>#NAME?</x:v>
      </x:c>
      <x:c r="C23" s="58" t="e">
        <x:f>IF(B23="未启用","",V6周期计划!C38)</x:f>
        <x:v>#NAME?</x:v>
      </x:c>
      <x:c r="D23" s="58" t="e">
        <x:f>IF(B23="未启用","",V6周期计划!D38)</x:f>
        <x:v>#NAME?</x:v>
      </x:c>
      <x:c r="E23" s="58" t="e">
        <x:f>IF(B23="未启用","",V6周期计划!E38)</x:f>
        <x:v>#NAME?</x:v>
      </x:c>
      <x:c r="F23" s="58" t="e">
        <x:f>IF(B23="未启用","",V6周期计划!F38)</x:f>
        <x:v>#NAME?</x:v>
      </x:c>
      <x:c r="G23" s="59" t="e">
        <x:f>IF(B23="未启用","",V6周期计划!G38)</x:f>
        <x:v>#NAME?</x:v>
      </x:c>
      <x:c r="H23" s="59" t="e">
        <x:f>IF(B23="未启用","",V6周期计划!H38)</x:f>
        <x:v>#NAME?</x:v>
      </x:c>
      <x:c r="I23" s="59" t="e">
        <x:f>IF(B23="未启用","",V6周期计划!I38)</x:f>
        <x:v>#NAME?</x:v>
      </x:c>
      <x:c r="J23" s="60" t="e">
        <x:f>IF(B23="未启用","",G23*IF(D23="是",V6设置!$B15,V6设置!$B23))</x:f>
        <x:v>#NAME?</x:v>
      </x:c>
      <x:c r="K23" s="60" t="e">
        <x:f>IF(B23="未启用","",H23*IF(D23="是",V6设置!$C15,V6设置!$C23))</x:f>
        <x:v>#NAME?</x:v>
      </x:c>
      <x:c r="L23" s="60" t="e">
        <x:f>IF(B23="未启用","",I23*IF(D23="是",V6设置!$D15,V6设置!$D23))</x:f>
        <x:v>#NAME?</x:v>
      </x:c>
      <x:c r="M23" s="60" t="e">
        <x:f>IF(B23="未启用","",G23*IF(D23="是",V6设置!$B16,V6设置!$B24))</x:f>
        <x:v>#NAME?</x:v>
      </x:c>
      <x:c r="N23" s="60" t="e">
        <x:f>IF(B23="未启用","",H23*IF(D23="是",V6设置!$C16,V6设置!$C24))</x:f>
        <x:v>#NAME?</x:v>
      </x:c>
      <x:c r="O23" s="60" t="e">
        <x:f>IF(B23="未启用","",I23*IF(D23="是",V6设置!$D16,V6设置!$D24))</x:f>
        <x:v>#NAME?</x:v>
      </x:c>
      <x:c r="P23" s="60" t="e">
        <x:f>IF(B23="未启用","",G23*IF(D23="是",V6设置!$B17,V6设置!$B25))</x:f>
        <x:v>#NAME?</x:v>
      </x:c>
      <x:c r="Q23" s="60" t="e">
        <x:f>IF(B23="未启用","",H23*IF(D23="是",V6设置!$C17,V6设置!$C25))</x:f>
        <x:v>#NAME?</x:v>
      </x:c>
      <x:c r="R23" s="60" t="e">
        <x:f>IF(B23="未启用","",I23*IF(D23="是",V6设置!$D17,V6设置!$D25))</x:f>
        <x:v>#NAME?</x:v>
      </x:c>
      <x:c r="S23" s="60" t="e">
        <x:f>IF(B23="未启用","",G23*IF(D23="是",V6设置!$B18,V6设置!$B26))</x:f>
        <x:v>#NAME?</x:v>
      </x:c>
      <x:c r="T23" s="60" t="e">
        <x:f>IF(B23="未启用","",H23*IF(D23="是",V6设置!$C18,V6设置!$C26))</x:f>
        <x:v>#NAME?</x:v>
      </x:c>
      <x:c r="U23" s="60" t="e">
        <x:f>IF(B23="未启用","",I23*IF(D23="是",V6设置!$D18,V6设置!$D26))</x:f>
        <x:v>#NAME?</x:v>
      </x:c>
    </x:row>
    <x:row r="24" ht="13.899999618530273">
      <x:c r="A24" s="58">
        <x:v>20</x:v>
      </x:c>
      <x:c r="B24" s="58" t="e">
        <x:f>V6周期计划!B39</x:f>
        <x:v>#NAME?</x:v>
      </x:c>
      <x:c r="C24" s="58" t="e">
        <x:f>IF(B24="未启用","",V6周期计划!C39)</x:f>
        <x:v>#NAME?</x:v>
      </x:c>
      <x:c r="D24" s="58" t="e">
        <x:f>IF(B24="未启用","",V6周期计划!D39)</x:f>
        <x:v>#NAME?</x:v>
      </x:c>
      <x:c r="E24" s="58" t="e">
        <x:f>IF(B24="未启用","",V6周期计划!E39)</x:f>
        <x:v>#NAME?</x:v>
      </x:c>
      <x:c r="F24" s="58" t="e">
        <x:f>IF(B24="未启用","",V6周期计划!F39)</x:f>
        <x:v>#NAME?</x:v>
      </x:c>
      <x:c r="G24" s="59" t="e">
        <x:f>IF(B24="未启用","",V6周期计划!G39)</x:f>
        <x:v>#NAME?</x:v>
      </x:c>
      <x:c r="H24" s="59" t="e">
        <x:f>IF(B24="未启用","",V6周期计划!H39)</x:f>
        <x:v>#NAME?</x:v>
      </x:c>
      <x:c r="I24" s="59" t="e">
        <x:f>IF(B24="未启用","",V6周期计划!I39)</x:f>
        <x:v>#NAME?</x:v>
      </x:c>
      <x:c r="J24" s="60" t="e">
        <x:f>IF(B24="未启用","",G24*IF(D24="是",V6设置!$B15,V6设置!$B23))</x:f>
        <x:v>#NAME?</x:v>
      </x:c>
      <x:c r="K24" s="60" t="e">
        <x:f>IF(B24="未启用","",H24*IF(D24="是",V6设置!$C15,V6设置!$C23))</x:f>
        <x:v>#NAME?</x:v>
      </x:c>
      <x:c r="L24" s="60" t="e">
        <x:f>IF(B24="未启用","",I24*IF(D24="是",V6设置!$D15,V6设置!$D23))</x:f>
        <x:v>#NAME?</x:v>
      </x:c>
      <x:c r="M24" s="60" t="e">
        <x:f>IF(B24="未启用","",G24*IF(D24="是",V6设置!$B16,V6设置!$B24))</x:f>
        <x:v>#NAME?</x:v>
      </x:c>
      <x:c r="N24" s="60" t="e">
        <x:f>IF(B24="未启用","",H24*IF(D24="是",V6设置!$C16,V6设置!$C24))</x:f>
        <x:v>#NAME?</x:v>
      </x:c>
      <x:c r="O24" s="60" t="e">
        <x:f>IF(B24="未启用","",I24*IF(D24="是",V6设置!$D16,V6设置!$D24))</x:f>
        <x:v>#NAME?</x:v>
      </x:c>
      <x:c r="P24" s="60" t="e">
        <x:f>IF(B24="未启用","",G24*IF(D24="是",V6设置!$B17,V6设置!$B25))</x:f>
        <x:v>#NAME?</x:v>
      </x:c>
      <x:c r="Q24" s="60" t="e">
        <x:f>IF(B24="未启用","",H24*IF(D24="是",V6设置!$C17,V6设置!$C25))</x:f>
        <x:v>#NAME?</x:v>
      </x:c>
      <x:c r="R24" s="60" t="e">
        <x:f>IF(B24="未启用","",I24*IF(D24="是",V6设置!$D17,V6设置!$D25))</x:f>
        <x:v>#NAME?</x:v>
      </x:c>
      <x:c r="S24" s="60" t="e">
        <x:f>IF(B24="未启用","",G24*IF(D24="是",V6设置!$B18,V6设置!$B26))</x:f>
        <x:v>#NAME?</x:v>
      </x:c>
      <x:c r="T24" s="60" t="e">
        <x:f>IF(B24="未启用","",H24*IF(D24="是",V6设置!$C18,V6设置!$C26))</x:f>
        <x:v>#NAME?</x:v>
      </x:c>
      <x:c r="U24" s="60" t="e">
        <x:f>IF(B24="未启用","",I24*IF(D24="是",V6设置!$D18,V6设置!$D26))</x:f>
        <x:v>#NAME?</x:v>
      </x:c>
    </x:row>
    <x:row r="25" ht="13.899999618530273">
      <x:c r="A25" s="58">
        <x:v>21</x:v>
      </x:c>
      <x:c r="B25" s="58" t="e">
        <x:f>V6周期计划!B40</x:f>
        <x:v>#NAME?</x:v>
      </x:c>
      <x:c r="C25" s="58" t="e">
        <x:f>IF(B25="未启用","",V6周期计划!C40)</x:f>
        <x:v>#NAME?</x:v>
      </x:c>
      <x:c r="D25" s="58" t="e">
        <x:f>IF(B25="未启用","",V6周期计划!D40)</x:f>
        <x:v>#NAME?</x:v>
      </x:c>
      <x:c r="E25" s="58" t="e">
        <x:f>IF(B25="未启用","",V6周期计划!E40)</x:f>
        <x:v>#NAME?</x:v>
      </x:c>
      <x:c r="F25" s="58" t="e">
        <x:f>IF(B25="未启用","",V6周期计划!F40)</x:f>
        <x:v>#NAME?</x:v>
      </x:c>
      <x:c r="G25" s="59" t="e">
        <x:f>IF(B25="未启用","",V6周期计划!G40)</x:f>
        <x:v>#NAME?</x:v>
      </x:c>
      <x:c r="H25" s="59" t="e">
        <x:f>IF(B25="未启用","",V6周期计划!H40)</x:f>
        <x:v>#NAME?</x:v>
      </x:c>
      <x:c r="I25" s="59" t="e">
        <x:f>IF(B25="未启用","",V6周期计划!I40)</x:f>
        <x:v>#NAME?</x:v>
      </x:c>
      <x:c r="J25" s="60" t="e">
        <x:f>IF(B25="未启用","",G25*IF(D25="是",V6设置!$B15,V6设置!$B23))</x:f>
        <x:v>#NAME?</x:v>
      </x:c>
      <x:c r="K25" s="60" t="e">
        <x:f>IF(B25="未启用","",H25*IF(D25="是",V6设置!$C15,V6设置!$C23))</x:f>
        <x:v>#NAME?</x:v>
      </x:c>
      <x:c r="L25" s="60" t="e">
        <x:f>IF(B25="未启用","",I25*IF(D25="是",V6设置!$D15,V6设置!$D23))</x:f>
        <x:v>#NAME?</x:v>
      </x:c>
      <x:c r="M25" s="60" t="e">
        <x:f>IF(B25="未启用","",G25*IF(D25="是",V6设置!$B16,V6设置!$B24))</x:f>
        <x:v>#NAME?</x:v>
      </x:c>
      <x:c r="N25" s="60" t="e">
        <x:f>IF(B25="未启用","",H25*IF(D25="是",V6设置!$C16,V6设置!$C24))</x:f>
        <x:v>#NAME?</x:v>
      </x:c>
      <x:c r="O25" s="60" t="e">
        <x:f>IF(B25="未启用","",I25*IF(D25="是",V6设置!$D16,V6设置!$D24))</x:f>
        <x:v>#NAME?</x:v>
      </x:c>
      <x:c r="P25" s="60" t="e">
        <x:f>IF(B25="未启用","",G25*IF(D25="是",V6设置!$B17,V6设置!$B25))</x:f>
        <x:v>#NAME?</x:v>
      </x:c>
      <x:c r="Q25" s="60" t="e">
        <x:f>IF(B25="未启用","",H25*IF(D25="是",V6设置!$C17,V6设置!$C25))</x:f>
        <x:v>#NAME?</x:v>
      </x:c>
      <x:c r="R25" s="60" t="e">
        <x:f>IF(B25="未启用","",I25*IF(D25="是",V6设置!$D17,V6设置!$D25))</x:f>
        <x:v>#NAME?</x:v>
      </x:c>
      <x:c r="S25" s="60" t="e">
        <x:f>IF(B25="未启用","",G25*IF(D25="是",V6设置!$B18,V6设置!$B26))</x:f>
        <x:v>#NAME?</x:v>
      </x:c>
      <x:c r="T25" s="60" t="e">
        <x:f>IF(B25="未启用","",H25*IF(D25="是",V6设置!$C18,V6设置!$C26))</x:f>
        <x:v>#NAME?</x:v>
      </x:c>
      <x:c r="U25" s="60" t="e">
        <x:f>IF(B25="未启用","",I25*IF(D25="是",V6设置!$D18,V6设置!$D26))</x:f>
        <x:v>#NAME?</x:v>
      </x:c>
    </x:row>
    <x:row r="26" ht="13.899999618530273">
      <x:c r="A26" s="58">
        <x:v>22</x:v>
      </x:c>
      <x:c r="B26" s="58" t="e">
        <x:f>V6周期计划!B41</x:f>
        <x:v>#NAME?</x:v>
      </x:c>
      <x:c r="C26" s="58" t="e">
        <x:f>IF(B26="未启用","",V6周期计划!C41)</x:f>
        <x:v>#NAME?</x:v>
      </x:c>
      <x:c r="D26" s="58" t="e">
        <x:f>IF(B26="未启用","",V6周期计划!D41)</x:f>
        <x:v>#NAME?</x:v>
      </x:c>
      <x:c r="E26" s="58" t="e">
        <x:f>IF(B26="未启用","",V6周期计划!E41)</x:f>
        <x:v>#NAME?</x:v>
      </x:c>
      <x:c r="F26" s="58" t="e">
        <x:f>IF(B26="未启用","",V6周期计划!F41)</x:f>
        <x:v>#NAME?</x:v>
      </x:c>
      <x:c r="G26" s="59" t="e">
        <x:f>IF(B26="未启用","",V6周期计划!G41)</x:f>
        <x:v>#NAME?</x:v>
      </x:c>
      <x:c r="H26" s="59" t="e">
        <x:f>IF(B26="未启用","",V6周期计划!H41)</x:f>
        <x:v>#NAME?</x:v>
      </x:c>
      <x:c r="I26" s="59" t="e">
        <x:f>IF(B26="未启用","",V6周期计划!I41)</x:f>
        <x:v>#NAME?</x:v>
      </x:c>
      <x:c r="J26" s="60" t="e">
        <x:f>IF(B26="未启用","",G26*IF(D26="是",V6设置!$B15,V6设置!$B23))</x:f>
        <x:v>#NAME?</x:v>
      </x:c>
      <x:c r="K26" s="60" t="e">
        <x:f>IF(B26="未启用","",H26*IF(D26="是",V6设置!$C15,V6设置!$C23))</x:f>
        <x:v>#NAME?</x:v>
      </x:c>
      <x:c r="L26" s="60" t="e">
        <x:f>IF(B26="未启用","",I26*IF(D26="是",V6设置!$D15,V6设置!$D23))</x:f>
        <x:v>#NAME?</x:v>
      </x:c>
      <x:c r="M26" s="60" t="e">
        <x:f>IF(B26="未启用","",G26*IF(D26="是",V6设置!$B16,V6设置!$B24))</x:f>
        <x:v>#NAME?</x:v>
      </x:c>
      <x:c r="N26" s="60" t="e">
        <x:f>IF(B26="未启用","",H26*IF(D26="是",V6设置!$C16,V6设置!$C24))</x:f>
        <x:v>#NAME?</x:v>
      </x:c>
      <x:c r="O26" s="60" t="e">
        <x:f>IF(B26="未启用","",I26*IF(D26="是",V6设置!$D16,V6设置!$D24))</x:f>
        <x:v>#NAME?</x:v>
      </x:c>
      <x:c r="P26" s="60" t="e">
        <x:f>IF(B26="未启用","",G26*IF(D26="是",V6设置!$B17,V6设置!$B25))</x:f>
        <x:v>#NAME?</x:v>
      </x:c>
      <x:c r="Q26" s="60" t="e">
        <x:f>IF(B26="未启用","",H26*IF(D26="是",V6设置!$C17,V6设置!$C25))</x:f>
        <x:v>#NAME?</x:v>
      </x:c>
      <x:c r="R26" s="60" t="e">
        <x:f>IF(B26="未启用","",I26*IF(D26="是",V6设置!$D17,V6设置!$D25))</x:f>
        <x:v>#NAME?</x:v>
      </x:c>
      <x:c r="S26" s="60" t="e">
        <x:f>IF(B26="未启用","",G26*IF(D26="是",V6设置!$B18,V6设置!$B26))</x:f>
        <x:v>#NAME?</x:v>
      </x:c>
      <x:c r="T26" s="60" t="e">
        <x:f>IF(B26="未启用","",H26*IF(D26="是",V6设置!$C18,V6设置!$C26))</x:f>
        <x:v>#NAME?</x:v>
      </x:c>
      <x:c r="U26" s="60" t="e">
        <x:f>IF(B26="未启用","",I26*IF(D26="是",V6设置!$D18,V6设置!$D26))</x:f>
        <x:v>#NAME?</x:v>
      </x:c>
    </x:row>
    <x:row r="27" ht="13.899999618530273">
      <x:c r="A27" s="58">
        <x:v>23</x:v>
      </x:c>
      <x:c r="B27" s="58" t="e">
        <x:f>V6周期计划!B42</x:f>
        <x:v>#NAME?</x:v>
      </x:c>
      <x:c r="C27" s="58" t="e">
        <x:f>IF(B27="未启用","",V6周期计划!C42)</x:f>
        <x:v>#NAME?</x:v>
      </x:c>
      <x:c r="D27" s="58" t="e">
        <x:f>IF(B27="未启用","",V6周期计划!D42)</x:f>
        <x:v>#NAME?</x:v>
      </x:c>
      <x:c r="E27" s="58" t="e">
        <x:f>IF(B27="未启用","",V6周期计划!E42)</x:f>
        <x:v>#NAME?</x:v>
      </x:c>
      <x:c r="F27" s="58" t="e">
        <x:f>IF(B27="未启用","",V6周期计划!F42)</x:f>
        <x:v>#NAME?</x:v>
      </x:c>
      <x:c r="G27" s="59" t="e">
        <x:f>IF(B27="未启用","",V6周期计划!G42)</x:f>
        <x:v>#NAME?</x:v>
      </x:c>
      <x:c r="H27" s="59" t="e">
        <x:f>IF(B27="未启用","",V6周期计划!H42)</x:f>
        <x:v>#NAME?</x:v>
      </x:c>
      <x:c r="I27" s="59" t="e">
        <x:f>IF(B27="未启用","",V6周期计划!I42)</x:f>
        <x:v>#NAME?</x:v>
      </x:c>
      <x:c r="J27" s="60" t="e">
        <x:f>IF(B27="未启用","",G27*IF(D27="是",V6设置!$B15,V6设置!$B23))</x:f>
        <x:v>#NAME?</x:v>
      </x:c>
      <x:c r="K27" s="60" t="e">
        <x:f>IF(B27="未启用","",H27*IF(D27="是",V6设置!$C15,V6设置!$C23))</x:f>
        <x:v>#NAME?</x:v>
      </x:c>
      <x:c r="L27" s="60" t="e">
        <x:f>IF(B27="未启用","",I27*IF(D27="是",V6设置!$D15,V6设置!$D23))</x:f>
        <x:v>#NAME?</x:v>
      </x:c>
      <x:c r="M27" s="60" t="e">
        <x:f>IF(B27="未启用","",G27*IF(D27="是",V6设置!$B16,V6设置!$B24))</x:f>
        <x:v>#NAME?</x:v>
      </x:c>
      <x:c r="N27" s="60" t="e">
        <x:f>IF(B27="未启用","",H27*IF(D27="是",V6设置!$C16,V6设置!$C24))</x:f>
        <x:v>#NAME?</x:v>
      </x:c>
      <x:c r="O27" s="60" t="e">
        <x:f>IF(B27="未启用","",I27*IF(D27="是",V6设置!$D16,V6设置!$D24))</x:f>
        <x:v>#NAME?</x:v>
      </x:c>
      <x:c r="P27" s="60" t="e">
        <x:f>IF(B27="未启用","",G27*IF(D27="是",V6设置!$B17,V6设置!$B25))</x:f>
        <x:v>#NAME?</x:v>
      </x:c>
      <x:c r="Q27" s="60" t="e">
        <x:f>IF(B27="未启用","",H27*IF(D27="是",V6设置!$C17,V6设置!$C25))</x:f>
        <x:v>#NAME?</x:v>
      </x:c>
      <x:c r="R27" s="60" t="e">
        <x:f>IF(B27="未启用","",I27*IF(D27="是",V6设置!$D17,V6设置!$D25))</x:f>
        <x:v>#NAME?</x:v>
      </x:c>
      <x:c r="S27" s="60" t="e">
        <x:f>IF(B27="未启用","",G27*IF(D27="是",V6设置!$B18,V6设置!$B26))</x:f>
        <x:v>#NAME?</x:v>
      </x:c>
      <x:c r="T27" s="60" t="e">
        <x:f>IF(B27="未启用","",H27*IF(D27="是",V6设置!$C18,V6设置!$C26))</x:f>
        <x:v>#NAME?</x:v>
      </x:c>
      <x:c r="U27" s="60" t="e">
        <x:f>IF(B27="未启用","",I27*IF(D27="是",V6设置!$D18,V6设置!$D26))</x:f>
        <x:v>#NAME?</x:v>
      </x:c>
    </x:row>
    <x:row r="28" ht="13.899999618530273">
      <x:c r="A28" s="58">
        <x:v>24</x:v>
      </x:c>
      <x:c r="B28" s="58" t="e">
        <x:f>V6周期计划!B43</x:f>
        <x:v>#NAME?</x:v>
      </x:c>
      <x:c r="C28" s="58" t="e">
        <x:f>IF(B28="未启用","",V6周期计划!C43)</x:f>
        <x:v>#NAME?</x:v>
      </x:c>
      <x:c r="D28" s="58" t="e">
        <x:f>IF(B28="未启用","",V6周期计划!D43)</x:f>
        <x:v>#NAME?</x:v>
      </x:c>
      <x:c r="E28" s="58" t="e">
        <x:f>IF(B28="未启用","",V6周期计划!E43)</x:f>
        <x:v>#NAME?</x:v>
      </x:c>
      <x:c r="F28" s="58" t="e">
        <x:f>IF(B28="未启用","",V6周期计划!F43)</x:f>
        <x:v>#NAME?</x:v>
      </x:c>
      <x:c r="G28" s="59" t="e">
        <x:f>IF(B28="未启用","",V6周期计划!G43)</x:f>
        <x:v>#NAME?</x:v>
      </x:c>
      <x:c r="H28" s="59" t="e">
        <x:f>IF(B28="未启用","",V6周期计划!H43)</x:f>
        <x:v>#NAME?</x:v>
      </x:c>
      <x:c r="I28" s="59" t="e">
        <x:f>IF(B28="未启用","",V6周期计划!I43)</x:f>
        <x:v>#NAME?</x:v>
      </x:c>
      <x:c r="J28" s="60" t="e">
        <x:f>IF(B28="未启用","",G28*IF(D28="是",V6设置!$B15,V6设置!$B23))</x:f>
        <x:v>#NAME?</x:v>
      </x:c>
      <x:c r="K28" s="60" t="e">
        <x:f>IF(B28="未启用","",H28*IF(D28="是",V6设置!$C15,V6设置!$C23))</x:f>
        <x:v>#NAME?</x:v>
      </x:c>
      <x:c r="L28" s="60" t="e">
        <x:f>IF(B28="未启用","",I28*IF(D28="是",V6设置!$D15,V6设置!$D23))</x:f>
        <x:v>#NAME?</x:v>
      </x:c>
      <x:c r="M28" s="60" t="e">
        <x:f>IF(B28="未启用","",G28*IF(D28="是",V6设置!$B16,V6设置!$B24))</x:f>
        <x:v>#NAME?</x:v>
      </x:c>
      <x:c r="N28" s="60" t="e">
        <x:f>IF(B28="未启用","",H28*IF(D28="是",V6设置!$C16,V6设置!$C24))</x:f>
        <x:v>#NAME?</x:v>
      </x:c>
      <x:c r="O28" s="60" t="e">
        <x:f>IF(B28="未启用","",I28*IF(D28="是",V6设置!$D16,V6设置!$D24))</x:f>
        <x:v>#NAME?</x:v>
      </x:c>
      <x:c r="P28" s="60" t="e">
        <x:f>IF(B28="未启用","",G28*IF(D28="是",V6设置!$B17,V6设置!$B25))</x:f>
        <x:v>#NAME?</x:v>
      </x:c>
      <x:c r="Q28" s="60" t="e">
        <x:f>IF(B28="未启用","",H28*IF(D28="是",V6设置!$C17,V6设置!$C25))</x:f>
        <x:v>#NAME?</x:v>
      </x:c>
      <x:c r="R28" s="60" t="e">
        <x:f>IF(B28="未启用","",I28*IF(D28="是",V6设置!$D17,V6设置!$D25))</x:f>
        <x:v>#NAME?</x:v>
      </x:c>
      <x:c r="S28" s="60" t="e">
        <x:f>IF(B28="未启用","",G28*IF(D28="是",V6设置!$B18,V6设置!$B26))</x:f>
        <x:v>#NAME?</x:v>
      </x:c>
      <x:c r="T28" s="60" t="e">
        <x:f>IF(B28="未启用","",H28*IF(D28="是",V6设置!$C18,V6设置!$C26))</x:f>
        <x:v>#NAME?</x:v>
      </x:c>
      <x:c r="U28" s="60" t="e">
        <x:f>IF(B28="未启用","",I28*IF(D28="是",V6设置!$D18,V6设置!$D26))</x:f>
        <x:v>#NAME?</x:v>
      </x:c>
    </x:row>
    <x:row r="29" ht="13.899999618530273">
      <x:c r="A29" s="58">
        <x:v>25</x:v>
      </x:c>
      <x:c r="B29" s="58" t="e">
        <x:f>V6周期计划!B44</x:f>
        <x:v>#NAME?</x:v>
      </x:c>
      <x:c r="C29" s="58" t="e">
        <x:f>IF(B29="未启用","",V6周期计划!C44)</x:f>
        <x:v>#NAME?</x:v>
      </x:c>
      <x:c r="D29" s="58" t="e">
        <x:f>IF(B29="未启用","",V6周期计划!D44)</x:f>
        <x:v>#NAME?</x:v>
      </x:c>
      <x:c r="E29" s="58" t="e">
        <x:f>IF(B29="未启用","",V6周期计划!E44)</x:f>
        <x:v>#NAME?</x:v>
      </x:c>
      <x:c r="F29" s="58" t="e">
        <x:f>IF(B29="未启用","",V6周期计划!F44)</x:f>
        <x:v>#NAME?</x:v>
      </x:c>
      <x:c r="G29" s="59" t="e">
        <x:f>IF(B29="未启用","",V6周期计划!G44)</x:f>
        <x:v>#NAME?</x:v>
      </x:c>
      <x:c r="H29" s="59" t="e">
        <x:f>IF(B29="未启用","",V6周期计划!H44)</x:f>
        <x:v>#NAME?</x:v>
      </x:c>
      <x:c r="I29" s="59" t="e">
        <x:f>IF(B29="未启用","",V6周期计划!I44)</x:f>
        <x:v>#NAME?</x:v>
      </x:c>
      <x:c r="J29" s="60" t="e">
        <x:f>IF(B29="未启用","",G29*IF(D29="是",V6设置!$B15,V6设置!$B23))</x:f>
        <x:v>#NAME?</x:v>
      </x:c>
      <x:c r="K29" s="60" t="e">
        <x:f>IF(B29="未启用","",H29*IF(D29="是",V6设置!$C15,V6设置!$C23))</x:f>
        <x:v>#NAME?</x:v>
      </x:c>
      <x:c r="L29" s="60" t="e">
        <x:f>IF(B29="未启用","",I29*IF(D29="是",V6设置!$D15,V6设置!$D23))</x:f>
        <x:v>#NAME?</x:v>
      </x:c>
      <x:c r="M29" s="60" t="e">
        <x:f>IF(B29="未启用","",G29*IF(D29="是",V6设置!$B16,V6设置!$B24))</x:f>
        <x:v>#NAME?</x:v>
      </x:c>
      <x:c r="N29" s="60" t="e">
        <x:f>IF(B29="未启用","",H29*IF(D29="是",V6设置!$C16,V6设置!$C24))</x:f>
        <x:v>#NAME?</x:v>
      </x:c>
      <x:c r="O29" s="60" t="e">
        <x:f>IF(B29="未启用","",I29*IF(D29="是",V6设置!$D16,V6设置!$D24))</x:f>
        <x:v>#NAME?</x:v>
      </x:c>
      <x:c r="P29" s="60" t="e">
        <x:f>IF(B29="未启用","",G29*IF(D29="是",V6设置!$B17,V6设置!$B25))</x:f>
        <x:v>#NAME?</x:v>
      </x:c>
      <x:c r="Q29" s="60" t="e">
        <x:f>IF(B29="未启用","",H29*IF(D29="是",V6设置!$C17,V6设置!$C25))</x:f>
        <x:v>#NAME?</x:v>
      </x:c>
      <x:c r="R29" s="60" t="e">
        <x:f>IF(B29="未启用","",I29*IF(D29="是",V6设置!$D17,V6设置!$D25))</x:f>
        <x:v>#NAME?</x:v>
      </x:c>
      <x:c r="S29" s="60" t="e">
        <x:f>IF(B29="未启用","",G29*IF(D29="是",V6设置!$B18,V6设置!$B26))</x:f>
        <x:v>#NAME?</x:v>
      </x:c>
      <x:c r="T29" s="60" t="e">
        <x:f>IF(B29="未启用","",H29*IF(D29="是",V6设置!$C18,V6设置!$C26))</x:f>
        <x:v>#NAME?</x:v>
      </x:c>
      <x:c r="U29" s="60" t="e">
        <x:f>IF(B29="未启用","",I29*IF(D29="是",V6设置!$D18,V6设置!$D26))</x:f>
        <x:v>#NAME?</x:v>
      </x:c>
    </x:row>
    <x:row r="30" ht="13.899999618530273">
      <x:c r="A30" s="58">
        <x:v>26</x:v>
      </x:c>
      <x:c r="B30" s="58" t="e">
        <x:f>V6周期计划!B45</x:f>
        <x:v>#NAME?</x:v>
      </x:c>
      <x:c r="C30" s="58" t="e">
        <x:f>IF(B30="未启用","",V6周期计划!C45)</x:f>
        <x:v>#NAME?</x:v>
      </x:c>
      <x:c r="D30" s="58" t="e">
        <x:f>IF(B30="未启用","",V6周期计划!D45)</x:f>
        <x:v>#NAME?</x:v>
      </x:c>
      <x:c r="E30" s="58" t="e">
        <x:f>IF(B30="未启用","",V6周期计划!E45)</x:f>
        <x:v>#NAME?</x:v>
      </x:c>
      <x:c r="F30" s="58" t="e">
        <x:f>IF(B30="未启用","",V6周期计划!F45)</x:f>
        <x:v>#NAME?</x:v>
      </x:c>
      <x:c r="G30" s="59" t="e">
        <x:f>IF(B30="未启用","",V6周期计划!G45)</x:f>
        <x:v>#NAME?</x:v>
      </x:c>
      <x:c r="H30" s="59" t="e">
        <x:f>IF(B30="未启用","",V6周期计划!H45)</x:f>
        <x:v>#NAME?</x:v>
      </x:c>
      <x:c r="I30" s="59" t="e">
        <x:f>IF(B30="未启用","",V6周期计划!I45)</x:f>
        <x:v>#NAME?</x:v>
      </x:c>
      <x:c r="J30" s="60" t="e">
        <x:f>IF(B30="未启用","",G30*IF(D30="是",V6设置!$B15,V6设置!$B23))</x:f>
        <x:v>#NAME?</x:v>
      </x:c>
      <x:c r="K30" s="60" t="e">
        <x:f>IF(B30="未启用","",H30*IF(D30="是",V6设置!$C15,V6设置!$C23))</x:f>
        <x:v>#NAME?</x:v>
      </x:c>
      <x:c r="L30" s="60" t="e">
        <x:f>IF(B30="未启用","",I30*IF(D30="是",V6设置!$D15,V6设置!$D23))</x:f>
        <x:v>#NAME?</x:v>
      </x:c>
      <x:c r="M30" s="60" t="e">
        <x:f>IF(B30="未启用","",G30*IF(D30="是",V6设置!$B16,V6设置!$B24))</x:f>
        <x:v>#NAME?</x:v>
      </x:c>
      <x:c r="N30" s="60" t="e">
        <x:f>IF(B30="未启用","",H30*IF(D30="是",V6设置!$C16,V6设置!$C24))</x:f>
        <x:v>#NAME?</x:v>
      </x:c>
      <x:c r="O30" s="60" t="e">
        <x:f>IF(B30="未启用","",I30*IF(D30="是",V6设置!$D16,V6设置!$D24))</x:f>
        <x:v>#NAME?</x:v>
      </x:c>
      <x:c r="P30" s="60" t="e">
        <x:f>IF(B30="未启用","",G30*IF(D30="是",V6设置!$B17,V6设置!$B25))</x:f>
        <x:v>#NAME?</x:v>
      </x:c>
      <x:c r="Q30" s="60" t="e">
        <x:f>IF(B30="未启用","",H30*IF(D30="是",V6设置!$C17,V6设置!$C25))</x:f>
        <x:v>#NAME?</x:v>
      </x:c>
      <x:c r="R30" s="60" t="e">
        <x:f>IF(B30="未启用","",I30*IF(D30="是",V6设置!$D17,V6设置!$D25))</x:f>
        <x:v>#NAME?</x:v>
      </x:c>
      <x:c r="S30" s="60" t="e">
        <x:f>IF(B30="未启用","",G30*IF(D30="是",V6设置!$B18,V6设置!$B26))</x:f>
        <x:v>#NAME?</x:v>
      </x:c>
      <x:c r="T30" s="60" t="e">
        <x:f>IF(B30="未启用","",H30*IF(D30="是",V6设置!$C18,V6设置!$C26))</x:f>
        <x:v>#NAME?</x:v>
      </x:c>
      <x:c r="U30" s="60" t="e">
        <x:f>IF(B30="未启用","",I30*IF(D30="是",V6设置!$D18,V6设置!$D26))</x:f>
        <x:v>#NAME?</x:v>
      </x:c>
    </x:row>
    <x:row r="31" ht="13.899999618530273">
      <x:c r="A31" s="58">
        <x:v>27</x:v>
      </x:c>
      <x:c r="B31" s="58" t="e">
        <x:f>V6周期计划!B46</x:f>
        <x:v>#NAME?</x:v>
      </x:c>
      <x:c r="C31" s="58" t="e">
        <x:f>IF(B31="未启用","",V6周期计划!C46)</x:f>
        <x:v>#NAME?</x:v>
      </x:c>
      <x:c r="D31" s="58" t="e">
        <x:f>IF(B31="未启用","",V6周期计划!D46)</x:f>
        <x:v>#NAME?</x:v>
      </x:c>
      <x:c r="E31" s="58" t="e">
        <x:f>IF(B31="未启用","",V6周期计划!E46)</x:f>
        <x:v>#NAME?</x:v>
      </x:c>
      <x:c r="F31" s="58" t="e">
        <x:f>IF(B31="未启用","",V6周期计划!F46)</x:f>
        <x:v>#NAME?</x:v>
      </x:c>
      <x:c r="G31" s="59" t="e">
        <x:f>IF(B31="未启用","",V6周期计划!G46)</x:f>
        <x:v>#NAME?</x:v>
      </x:c>
      <x:c r="H31" s="59" t="e">
        <x:f>IF(B31="未启用","",V6周期计划!H46)</x:f>
        <x:v>#NAME?</x:v>
      </x:c>
      <x:c r="I31" s="59" t="e">
        <x:f>IF(B31="未启用","",V6周期计划!I46)</x:f>
        <x:v>#NAME?</x:v>
      </x:c>
      <x:c r="J31" s="60" t="e">
        <x:f>IF(B31="未启用","",G31*IF(D31="是",V6设置!$B15,V6设置!$B23))</x:f>
        <x:v>#NAME?</x:v>
      </x:c>
      <x:c r="K31" s="60" t="e">
        <x:f>IF(B31="未启用","",H31*IF(D31="是",V6设置!$C15,V6设置!$C23))</x:f>
        <x:v>#NAME?</x:v>
      </x:c>
      <x:c r="L31" s="60" t="e">
        <x:f>IF(B31="未启用","",I31*IF(D31="是",V6设置!$D15,V6设置!$D23))</x:f>
        <x:v>#NAME?</x:v>
      </x:c>
      <x:c r="M31" s="60" t="e">
        <x:f>IF(B31="未启用","",G31*IF(D31="是",V6设置!$B16,V6设置!$B24))</x:f>
        <x:v>#NAME?</x:v>
      </x:c>
      <x:c r="N31" s="60" t="e">
        <x:f>IF(B31="未启用","",H31*IF(D31="是",V6设置!$C16,V6设置!$C24))</x:f>
        <x:v>#NAME?</x:v>
      </x:c>
      <x:c r="O31" s="60" t="e">
        <x:f>IF(B31="未启用","",I31*IF(D31="是",V6设置!$D16,V6设置!$D24))</x:f>
        <x:v>#NAME?</x:v>
      </x:c>
      <x:c r="P31" s="60" t="e">
        <x:f>IF(B31="未启用","",G31*IF(D31="是",V6设置!$B17,V6设置!$B25))</x:f>
        <x:v>#NAME?</x:v>
      </x:c>
      <x:c r="Q31" s="60" t="e">
        <x:f>IF(B31="未启用","",H31*IF(D31="是",V6设置!$C17,V6设置!$C25))</x:f>
        <x:v>#NAME?</x:v>
      </x:c>
      <x:c r="R31" s="60" t="e">
        <x:f>IF(B31="未启用","",I31*IF(D31="是",V6设置!$D17,V6设置!$D25))</x:f>
        <x:v>#NAME?</x:v>
      </x:c>
      <x:c r="S31" s="60" t="e">
        <x:f>IF(B31="未启用","",G31*IF(D31="是",V6设置!$B18,V6设置!$B26))</x:f>
        <x:v>#NAME?</x:v>
      </x:c>
      <x:c r="T31" s="60" t="e">
        <x:f>IF(B31="未启用","",H31*IF(D31="是",V6设置!$C18,V6设置!$C26))</x:f>
        <x:v>#NAME?</x:v>
      </x:c>
      <x:c r="U31" s="60" t="e">
        <x:f>IF(B31="未启用","",I31*IF(D31="是",V6设置!$D18,V6设置!$D26))</x:f>
        <x:v>#NAME?</x:v>
      </x:c>
    </x:row>
    <x:row r="32" ht="13.899999618530273">
      <x:c r="A32" s="58">
        <x:v>28</x:v>
      </x:c>
      <x:c r="B32" s="58" t="e">
        <x:f>V6周期计划!B47</x:f>
        <x:v>#NAME?</x:v>
      </x:c>
      <x:c r="C32" s="58" t="e">
        <x:f>IF(B32="未启用","",V6周期计划!C47)</x:f>
        <x:v>#NAME?</x:v>
      </x:c>
      <x:c r="D32" s="58" t="e">
        <x:f>IF(B32="未启用","",V6周期计划!D47)</x:f>
        <x:v>#NAME?</x:v>
      </x:c>
      <x:c r="E32" s="58" t="e">
        <x:f>IF(B32="未启用","",V6周期计划!E47)</x:f>
        <x:v>#NAME?</x:v>
      </x:c>
      <x:c r="F32" s="58" t="e">
        <x:f>IF(B32="未启用","",V6周期计划!F47)</x:f>
        <x:v>#NAME?</x:v>
      </x:c>
      <x:c r="G32" s="59" t="e">
        <x:f>IF(B32="未启用","",V6周期计划!G47)</x:f>
        <x:v>#NAME?</x:v>
      </x:c>
      <x:c r="H32" s="59" t="e">
        <x:f>IF(B32="未启用","",V6周期计划!H47)</x:f>
        <x:v>#NAME?</x:v>
      </x:c>
      <x:c r="I32" s="59" t="e">
        <x:f>IF(B32="未启用","",V6周期计划!I47)</x:f>
        <x:v>#NAME?</x:v>
      </x:c>
      <x:c r="J32" s="60" t="e">
        <x:f>IF(B32="未启用","",G32*IF(D32="是",V6设置!$B15,V6设置!$B23))</x:f>
        <x:v>#NAME?</x:v>
      </x:c>
      <x:c r="K32" s="60" t="e">
        <x:f>IF(B32="未启用","",H32*IF(D32="是",V6设置!$C15,V6设置!$C23))</x:f>
        <x:v>#NAME?</x:v>
      </x:c>
      <x:c r="L32" s="60" t="e">
        <x:f>IF(B32="未启用","",I32*IF(D32="是",V6设置!$D15,V6设置!$D23))</x:f>
        <x:v>#NAME?</x:v>
      </x:c>
      <x:c r="M32" s="60" t="e">
        <x:f>IF(B32="未启用","",G32*IF(D32="是",V6设置!$B16,V6设置!$B24))</x:f>
        <x:v>#NAME?</x:v>
      </x:c>
      <x:c r="N32" s="60" t="e">
        <x:f>IF(B32="未启用","",H32*IF(D32="是",V6设置!$C16,V6设置!$C24))</x:f>
        <x:v>#NAME?</x:v>
      </x:c>
      <x:c r="O32" s="60" t="e">
        <x:f>IF(B32="未启用","",I32*IF(D32="是",V6设置!$D16,V6设置!$D24))</x:f>
        <x:v>#NAME?</x:v>
      </x:c>
      <x:c r="P32" s="60" t="e">
        <x:f>IF(B32="未启用","",G32*IF(D32="是",V6设置!$B17,V6设置!$B25))</x:f>
        <x:v>#NAME?</x:v>
      </x:c>
      <x:c r="Q32" s="60" t="e">
        <x:f>IF(B32="未启用","",H32*IF(D32="是",V6设置!$C17,V6设置!$C25))</x:f>
        <x:v>#NAME?</x:v>
      </x:c>
      <x:c r="R32" s="60" t="e">
        <x:f>IF(B32="未启用","",I32*IF(D32="是",V6设置!$D17,V6设置!$D25))</x:f>
        <x:v>#NAME?</x:v>
      </x:c>
      <x:c r="S32" s="60" t="e">
        <x:f>IF(B32="未启用","",G32*IF(D32="是",V6设置!$B18,V6设置!$B26))</x:f>
        <x:v>#NAME?</x:v>
      </x:c>
      <x:c r="T32" s="60" t="e">
        <x:f>IF(B32="未启用","",H32*IF(D32="是",V6设置!$C18,V6设置!$C26))</x:f>
        <x:v>#NAME?</x:v>
      </x:c>
      <x:c r="U32" s="60" t="e">
        <x:f>IF(B32="未启用","",I32*IF(D32="是",V6设置!$D18,V6设置!$D26))</x:f>
        <x:v>#NAME?</x:v>
      </x:c>
    </x:row>
    <x:row r="33" ht="13.899999618530273">
      <x:c r="A33" s="58">
        <x:v>29</x:v>
      </x:c>
      <x:c r="B33" s="58" t="e">
        <x:f>V6周期计划!B48</x:f>
        <x:v>#NAME?</x:v>
      </x:c>
      <x:c r="C33" s="58" t="e">
        <x:f>IF(B33="未启用","",V6周期计划!C48)</x:f>
        <x:v>#NAME?</x:v>
      </x:c>
      <x:c r="D33" s="58" t="e">
        <x:f>IF(B33="未启用","",V6周期计划!D48)</x:f>
        <x:v>#NAME?</x:v>
      </x:c>
      <x:c r="E33" s="58" t="e">
        <x:f>IF(B33="未启用","",V6周期计划!E48)</x:f>
        <x:v>#NAME?</x:v>
      </x:c>
      <x:c r="F33" s="58" t="e">
        <x:f>IF(B33="未启用","",V6周期计划!F48)</x:f>
        <x:v>#NAME?</x:v>
      </x:c>
      <x:c r="G33" s="59" t="e">
        <x:f>IF(B33="未启用","",V6周期计划!G48)</x:f>
        <x:v>#NAME?</x:v>
      </x:c>
      <x:c r="H33" s="59" t="e">
        <x:f>IF(B33="未启用","",V6周期计划!H48)</x:f>
        <x:v>#NAME?</x:v>
      </x:c>
      <x:c r="I33" s="59" t="e">
        <x:f>IF(B33="未启用","",V6周期计划!I48)</x:f>
        <x:v>#NAME?</x:v>
      </x:c>
      <x:c r="J33" s="60" t="e">
        <x:f>IF(B33="未启用","",G33*IF(D33="是",V6设置!$B15,V6设置!$B23))</x:f>
        <x:v>#NAME?</x:v>
      </x:c>
      <x:c r="K33" s="60" t="e">
        <x:f>IF(B33="未启用","",H33*IF(D33="是",V6设置!$C15,V6设置!$C23))</x:f>
        <x:v>#NAME?</x:v>
      </x:c>
      <x:c r="L33" s="60" t="e">
        <x:f>IF(B33="未启用","",I33*IF(D33="是",V6设置!$D15,V6设置!$D23))</x:f>
        <x:v>#NAME?</x:v>
      </x:c>
      <x:c r="M33" s="60" t="e">
        <x:f>IF(B33="未启用","",G33*IF(D33="是",V6设置!$B16,V6设置!$B24))</x:f>
        <x:v>#NAME?</x:v>
      </x:c>
      <x:c r="N33" s="60" t="e">
        <x:f>IF(B33="未启用","",H33*IF(D33="是",V6设置!$C16,V6设置!$C24))</x:f>
        <x:v>#NAME?</x:v>
      </x:c>
      <x:c r="O33" s="60" t="e">
        <x:f>IF(B33="未启用","",I33*IF(D33="是",V6设置!$D16,V6设置!$D24))</x:f>
        <x:v>#NAME?</x:v>
      </x:c>
      <x:c r="P33" s="60" t="e">
        <x:f>IF(B33="未启用","",G33*IF(D33="是",V6设置!$B17,V6设置!$B25))</x:f>
        <x:v>#NAME?</x:v>
      </x:c>
      <x:c r="Q33" s="60" t="e">
        <x:f>IF(B33="未启用","",H33*IF(D33="是",V6设置!$C17,V6设置!$C25))</x:f>
        <x:v>#NAME?</x:v>
      </x:c>
      <x:c r="R33" s="60" t="e">
        <x:f>IF(B33="未启用","",I33*IF(D33="是",V6设置!$D17,V6设置!$D25))</x:f>
        <x:v>#NAME?</x:v>
      </x:c>
      <x:c r="S33" s="60" t="e">
        <x:f>IF(B33="未启用","",G33*IF(D33="是",V6设置!$B18,V6设置!$B26))</x:f>
        <x:v>#NAME?</x:v>
      </x:c>
      <x:c r="T33" s="60" t="e">
        <x:f>IF(B33="未启用","",H33*IF(D33="是",V6设置!$C18,V6设置!$C26))</x:f>
        <x:v>#NAME?</x:v>
      </x:c>
      <x:c r="U33" s="60" t="e">
        <x:f>IF(B33="未启用","",I33*IF(D33="是",V6设置!$D18,V6设置!$D26))</x:f>
        <x:v>#NAME?</x:v>
      </x:c>
    </x:row>
    <x:row r="34" ht="13.899999618530273">
      <x:c r="A34" s="58">
        <x:v>30</x:v>
      </x:c>
      <x:c r="B34" s="58" t="e">
        <x:f>V6周期计划!B49</x:f>
        <x:v>#NAME?</x:v>
      </x:c>
      <x:c r="C34" s="58" t="e">
        <x:f>IF(B34="未启用","",V6周期计划!C49)</x:f>
        <x:v>#NAME?</x:v>
      </x:c>
      <x:c r="D34" s="58" t="e">
        <x:f>IF(B34="未启用","",V6周期计划!D49)</x:f>
        <x:v>#NAME?</x:v>
      </x:c>
      <x:c r="E34" s="58" t="e">
        <x:f>IF(B34="未启用","",V6周期计划!E49)</x:f>
        <x:v>#NAME?</x:v>
      </x:c>
      <x:c r="F34" s="58" t="e">
        <x:f>IF(B34="未启用","",V6周期计划!F49)</x:f>
        <x:v>#NAME?</x:v>
      </x:c>
      <x:c r="G34" s="59" t="e">
        <x:f>IF(B34="未启用","",V6周期计划!G49)</x:f>
        <x:v>#NAME?</x:v>
      </x:c>
      <x:c r="H34" s="59" t="e">
        <x:f>IF(B34="未启用","",V6周期计划!H49)</x:f>
        <x:v>#NAME?</x:v>
      </x:c>
      <x:c r="I34" s="59" t="e">
        <x:f>IF(B34="未启用","",V6周期计划!I49)</x:f>
        <x:v>#NAME?</x:v>
      </x:c>
      <x:c r="J34" s="60" t="e">
        <x:f>IF(B34="未启用","",G34*IF(D34="是",V6设置!$B15,V6设置!$B23))</x:f>
        <x:v>#NAME?</x:v>
      </x:c>
      <x:c r="K34" s="60" t="e">
        <x:f>IF(B34="未启用","",H34*IF(D34="是",V6设置!$C15,V6设置!$C23))</x:f>
        <x:v>#NAME?</x:v>
      </x:c>
      <x:c r="L34" s="60" t="e">
        <x:f>IF(B34="未启用","",I34*IF(D34="是",V6设置!$D15,V6设置!$D23))</x:f>
        <x:v>#NAME?</x:v>
      </x:c>
      <x:c r="M34" s="60" t="e">
        <x:f>IF(B34="未启用","",G34*IF(D34="是",V6设置!$B16,V6设置!$B24))</x:f>
        <x:v>#NAME?</x:v>
      </x:c>
      <x:c r="N34" s="60" t="e">
        <x:f>IF(B34="未启用","",H34*IF(D34="是",V6设置!$C16,V6设置!$C24))</x:f>
        <x:v>#NAME?</x:v>
      </x:c>
      <x:c r="O34" s="60" t="e">
        <x:f>IF(B34="未启用","",I34*IF(D34="是",V6设置!$D16,V6设置!$D24))</x:f>
        <x:v>#NAME?</x:v>
      </x:c>
      <x:c r="P34" s="60" t="e">
        <x:f>IF(B34="未启用","",G34*IF(D34="是",V6设置!$B17,V6设置!$B25))</x:f>
        <x:v>#NAME?</x:v>
      </x:c>
      <x:c r="Q34" s="60" t="e">
        <x:f>IF(B34="未启用","",H34*IF(D34="是",V6设置!$C17,V6设置!$C25))</x:f>
        <x:v>#NAME?</x:v>
      </x:c>
      <x:c r="R34" s="60" t="e">
        <x:f>IF(B34="未启用","",I34*IF(D34="是",V6设置!$D17,V6设置!$D25))</x:f>
        <x:v>#NAME?</x:v>
      </x:c>
      <x:c r="S34" s="60" t="e">
        <x:f>IF(B34="未启用","",G34*IF(D34="是",V6设置!$B18,V6设置!$B26))</x:f>
        <x:v>#NAME?</x:v>
      </x:c>
      <x:c r="T34" s="60" t="e">
        <x:f>IF(B34="未启用","",H34*IF(D34="是",V6设置!$C18,V6设置!$C26))</x:f>
        <x:v>#NAME?</x:v>
      </x:c>
      <x:c r="U34" s="60" t="e">
        <x:f>IF(B34="未启用","",I34*IF(D34="是",V6设置!$D18,V6设置!$D26))</x:f>
        <x:v>#NAME?</x:v>
      </x:c>
    </x:row>
    <x:row r="35" ht="13.899999618530273">
      <x:c r="A35" s="58">
        <x:v>31</x:v>
      </x:c>
      <x:c r="B35" s="58" t="e">
        <x:f>V6周期计划!B50</x:f>
        <x:v>#NAME?</x:v>
      </x:c>
      <x:c r="C35" s="58" t="e">
        <x:f>IF(B35="未启用","",V6周期计划!C50)</x:f>
        <x:v>#NAME?</x:v>
      </x:c>
      <x:c r="D35" s="58" t="e">
        <x:f>IF(B35="未启用","",V6周期计划!D50)</x:f>
        <x:v>#NAME?</x:v>
      </x:c>
      <x:c r="E35" s="58" t="e">
        <x:f>IF(B35="未启用","",V6周期计划!E50)</x:f>
        <x:v>#NAME?</x:v>
      </x:c>
      <x:c r="F35" s="58" t="e">
        <x:f>IF(B35="未启用","",V6周期计划!F50)</x:f>
        <x:v>#NAME?</x:v>
      </x:c>
      <x:c r="G35" s="59" t="e">
        <x:f>IF(B35="未启用","",V6周期计划!G50)</x:f>
        <x:v>#NAME?</x:v>
      </x:c>
      <x:c r="H35" s="59" t="e">
        <x:f>IF(B35="未启用","",V6周期计划!H50)</x:f>
        <x:v>#NAME?</x:v>
      </x:c>
      <x:c r="I35" s="59" t="e">
        <x:f>IF(B35="未启用","",V6周期计划!I50)</x:f>
        <x:v>#NAME?</x:v>
      </x:c>
      <x:c r="J35" s="60" t="e">
        <x:f>IF(B35="未启用","",G35*IF(D35="是",V6设置!$B15,V6设置!$B23))</x:f>
        <x:v>#NAME?</x:v>
      </x:c>
      <x:c r="K35" s="60" t="e">
        <x:f>IF(B35="未启用","",H35*IF(D35="是",V6设置!$C15,V6设置!$C23))</x:f>
        <x:v>#NAME?</x:v>
      </x:c>
      <x:c r="L35" s="60" t="e">
        <x:f>IF(B35="未启用","",I35*IF(D35="是",V6设置!$D15,V6设置!$D23))</x:f>
        <x:v>#NAME?</x:v>
      </x:c>
      <x:c r="M35" s="60" t="e">
        <x:f>IF(B35="未启用","",G35*IF(D35="是",V6设置!$B16,V6设置!$B24))</x:f>
        <x:v>#NAME?</x:v>
      </x:c>
      <x:c r="N35" s="60" t="e">
        <x:f>IF(B35="未启用","",H35*IF(D35="是",V6设置!$C16,V6设置!$C24))</x:f>
        <x:v>#NAME?</x:v>
      </x:c>
      <x:c r="O35" s="60" t="e">
        <x:f>IF(B35="未启用","",I35*IF(D35="是",V6设置!$D16,V6设置!$D24))</x:f>
        <x:v>#NAME?</x:v>
      </x:c>
      <x:c r="P35" s="60" t="e">
        <x:f>IF(B35="未启用","",G35*IF(D35="是",V6设置!$B17,V6设置!$B25))</x:f>
        <x:v>#NAME?</x:v>
      </x:c>
      <x:c r="Q35" s="60" t="e">
        <x:f>IF(B35="未启用","",H35*IF(D35="是",V6设置!$C17,V6设置!$C25))</x:f>
        <x:v>#NAME?</x:v>
      </x:c>
      <x:c r="R35" s="60" t="e">
        <x:f>IF(B35="未启用","",I35*IF(D35="是",V6设置!$D17,V6设置!$D25))</x:f>
        <x:v>#NAME?</x:v>
      </x:c>
      <x:c r="S35" s="60" t="e">
        <x:f>IF(B35="未启用","",G35*IF(D35="是",V6设置!$B18,V6设置!$B26))</x:f>
        <x:v>#NAME?</x:v>
      </x:c>
      <x:c r="T35" s="60" t="e">
        <x:f>IF(B35="未启用","",H35*IF(D35="是",V6设置!$C18,V6设置!$C26))</x:f>
        <x:v>#NAME?</x:v>
      </x:c>
      <x:c r="U35" s="60" t="e">
        <x:f>IF(B35="未启用","",I35*IF(D35="是",V6设置!$D18,V6设置!$D26))</x:f>
        <x:v>#NAME?</x:v>
      </x:c>
    </x:row>
    <x:row r="36" ht="14.649999618530273">
      <x:c r="A36" s="61" t="s">
        <x:v>56</x:v>
      </x:c>
      <x:c r="B36" s="61"/>
      <x:c r="C36" s="61"/>
      <x:c r="D36" s="61"/>
      <x:c r="E36" s="61"/>
      <x:c r="F36" s="61"/>
      <x:c r="G36" s="62" t="e">
        <x:f t="shared" ref="G36:U36" si="0">SUM(G5:G35)</x:f>
        <x:v>#NAME?</x:v>
      </x:c>
      <x:c r="H36" s="62">
        <x:f t="shared" si="0"/>
        <x:v>833</x:v>
      </x:c>
      <x:c r="I36" s="62">
        <x:f t="shared" si="0"/>
        <x:v>476</x:v>
      </x:c>
      <x:c r="J36" s="62">
        <x:f t="shared" si="0"/>
        <x:v>320.964788732394</x:v>
      </x:c>
      <x:c r="K36" s="62">
        <x:f t="shared" si="0"/>
        <x:v>202.3</x:v>
      </x:c>
      <x:c r="L36" s="62">
        <x:f t="shared" si="0"/>
        <x:v>117.409076682316</x:v>
      </x:c>
      <x:c r="M36" s="62">
        <x:f t="shared" si="0"/>
        <x:v>367.894366197183</x:v>
      </x:c>
      <x:c r="N36" s="62">
        <x:f t="shared" si="0"/>
        <x:v>333.2</x:v>
      </x:c>
      <x:c r="O36" s="62">
        <x:f t="shared" si="0"/>
        <x:v>190.4</x:v>
      </x:c>
      <x:c r="P36" s="62">
        <x:f t="shared" si="0"/>
        <x:v>72.0704225352113</x:v>
      </x:c>
      <x:c r="Q36" s="62">
        <x:f t="shared" si="0"/>
        <x:v>0</x:v>
      </x:c>
      <x:c r="R36" s="62">
        <x:f t="shared" si="0"/>
        <x:v>0</x:v>
      </x:c>
      <x:c r="S36" s="62">
        <x:f t="shared" si="0"/>
        <x:v>429.070422535211</x:v>
      </x:c>
      <x:c r="T36" s="62">
        <x:f t="shared" si="0"/>
        <x:v>297.5</x:v>
      </x:c>
      <x:c r="U36" s="62">
        <x:f t="shared" si="0"/>
        <x:v>168.190923317684</x:v>
      </x:c>
    </x:row>
    <x:row r="37" ht="13.850000381469727">
      <x:c r="A37" s="56"/>
      <x:c r="B37" s="56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</x:row>
    <x:row r="38" ht="30" customHeight="1">
      <x:c r="A38" s="63" t="s">
        <x:v>195</x:v>
      </x:c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</x:row>
    <x:row r="39" ht="30" customHeight="1">
      <x:c r="A39" s="63" t="s">
        <x:v>196</x:v>
      </x:c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  <x:c r="M39" s="63"/>
      <x:c r="N39" s="63"/>
      <x:c r="O39" s="63"/>
      <x:c r="P39" s="63"/>
      <x:c r="Q39" s="63"/>
      <x:c r="R39" s="63"/>
      <x:c r="S39" s="63"/>
      <x:c r="T39" s="63"/>
      <x:c r="U39" s="63"/>
    </x:row>
    <x:row r="40" ht="30" customHeight="1">
      <x:c r="A40" s="63" t="s">
        <x:v>197</x:v>
      </x:c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</x:row>
    <x:row r="41" ht="13.850000381469727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</x:row>
    <x:row r="42" ht="13.850000381469727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</x:row>
    <x:row r="43" ht="13.850000381469727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</x:row>
    <x:row r="44" ht="13.850000381469727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</x:row>
    <x:row r="45" ht="13.850000381469727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</x:row>
  </x:sheetData>
  <x:mergeCells>
    <x:mergeCell ref="A1:U1"/>
    <x:mergeCell ref="A3:U3"/>
    <x:mergeCell ref="A38:U38"/>
    <x:mergeCell ref="A39:U39"/>
    <x:mergeCell ref="A40:U4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0AD47"/>
  </x:sheetPr>
  <x:sheetFormatPr defaultColWidth="9" defaultRowHeight="13.5"/>
  <x:cols>
    <x:col min="1" max="1" width="12" customWidth="1"/>
    <x:col min="2" max="2" width="22" customWidth="1"/>
    <x:col min="3" max="5" width="12" customWidth="1"/>
    <x:col min="6" max="6" width="16.637168884277344" customWidth="1"/>
    <x:col min="7" max="7" width="12" customWidth="1"/>
    <x:col min="8" max="9" width="15.637167930603027" customWidth="1"/>
    <x:col min="10" max="10" width="17.637168884277344" customWidth="1"/>
    <x:col min="11" max="11" width="34.637168884277344" customWidth="1"/>
  </x:cols>
  <x:sheetData>
    <x:row r="1" ht="30" customHeight="1">
      <x:c r="A1" s="22" t="s">
        <x:v>198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3">
      <x:c r="A3" s="42" t="s">
        <x:v>199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</x:row>
    <x:row r="5">
      <x:c r="A5" s="28" t="s">
        <x:v>200</x:v>
      </x:c>
      <x:c r="B5" s="28" t="s">
        <x:v>201</x:v>
      </x:c>
      <x:c r="C5" s="28" t="s">
        <x:v>47</x:v>
      </x:c>
      <x:c r="D5" s="28" t="s">
        <x:v>48</x:v>
      </x:c>
      <x:c r="E5" s="28" t="s">
        <x:v>49</x:v>
      </x:c>
      <x:c r="F5" s="28" t="s">
        <x:v>202</x:v>
      </x:c>
      <x:c r="G5" s="28" t="s">
        <x:v>203</x:v>
      </x:c>
      <x:c r="H5" s="28" t="s">
        <x:v>204</x:v>
      </x:c>
      <x:c r="I5" s="28" t="s">
        <x:v>205</x:v>
      </x:c>
      <x:c r="J5" s="28" t="s">
        <x:v>206</x:v>
      </x:c>
      <x:c r="K5" s="28" t="s">
        <x:v>73</x:v>
      </x:c>
    </x:row>
    <x:row r="6" ht="27">
      <x:c r="A6" s="43" t="s">
        <x:v>207</x:v>
      </x:c>
      <x:c r="B6" s="32" t="s">
        <x:v>141</x:v>
      </x:c>
      <x:c r="C6" s="34">
        <x:v>30</x:v>
      </x:c>
      <x:c r="D6" s="34">
        <x:v>2.6</x:v>
      </x:c>
      <x:c r="E6" s="34">
        <x:v>0.3</x:v>
      </x:c>
      <x:c r="F6" s="44" t="n">
        <x:f t="shared" ref="F6:F37" si="0">IF(B6="","",ROUND(C6*4+D6*4+E6*9,0))</x:f>
        <x:v>133</x:v>
      </x:c>
      <x:c r="G6" s="32" t="s">
        <x:v>208</x:v>
      </x:c>
      <x:c r="H6" s="34" t="s">
        <x:v>127</x:v>
      </x:c>
      <x:c r="I6" s="34" t="s">
        <x:v>127</x:v>
      </x:c>
      <x:c r="J6" s="45">
        <x:v>2.5</x:v>
      </x:c>
      <x:c r="K6" s="32" t="s">
        <x:v>209</x:v>
      </x:c>
    </x:row>
    <x:row r="7">
      <x:c r="A7" s="43" t="s">
        <x:v>207</x:v>
      </x:c>
      <x:c r="B7" s="32" t="s">
        <x:v>126</x:v>
      </x:c>
      <x:c r="C7" s="34">
        <x:v>17</x:v>
      </x:c>
      <x:c r="D7" s="34">
        <x:v>2</x:v>
      </x:c>
      <x:c r="E7" s="34">
        <x:v>0.1</x:v>
      </x:c>
      <x:c r="F7" s="44">
        <x:f t="shared" si="0"/>
        <x:v>77</x:v>
      </x:c>
      <x:c r="G7" s="32" t="s">
        <x:v>208</x:v>
      </x:c>
      <x:c r="H7" s="34" t="s">
        <x:v>127</x:v>
      </x:c>
      <x:c r="I7" s="34" t="s">
        <x:v>127</x:v>
      </x:c>
      <x:c r="J7" s="45">
        <x:v>0.9</x:v>
      </x:c>
      <x:c r="K7" s="32" t="s">
        <x:v>210</x:v>
      </x:c>
    </x:row>
    <x:row r="8">
      <x:c r="A8" s="43" t="s">
        <x:v>207</x:v>
      </x:c>
      <x:c r="B8" s="32" t="s">
        <x:v>146</x:v>
      </x:c>
      <x:c r="C8" s="34">
        <x:v>20.1</x:v>
      </x:c>
      <x:c r="D8" s="34">
        <x:v>1.6</x:v>
      </x:c>
      <x:c r="E8" s="34">
        <x:v>0.1</x:v>
      </x:c>
      <x:c r="F8" s="44">
        <x:f t="shared" si="0"/>
        <x:v>88</x:v>
      </x:c>
      <x:c r="G8" s="32" t="s">
        <x:v>208</x:v>
      </x:c>
      <x:c r="H8" s="34" t="s">
        <x:v>127</x:v>
      </x:c>
      <x:c r="I8" s="34" t="s">
        <x:v>127</x:v>
      </x:c>
      <x:c r="J8" s="45">
        <x:v>0.9</x:v>
      </x:c>
      <x:c r="K8" s="32" t="s">
        <x:v>211</x:v>
      </x:c>
    </x:row>
    <x:row r="9">
      <x:c r="A9" s="43" t="s">
        <x:v>207</x:v>
      </x:c>
      <x:c r="B9" s="32" t="s">
        <x:v>133</x:v>
      </x:c>
      <x:c r="C9" s="34">
        <x:v>66.3</x:v>
      </x:c>
      <x:c r="D9" s="34">
        <x:v>16.9</x:v>
      </x:c>
      <x:c r="E9" s="34">
        <x:v>6.9</x:v>
      </x:c>
      <x:c r="F9" s="44">
        <x:f t="shared" si="0"/>
        <x:v>395</x:v>
      </x:c>
      <x:c r="G9" s="32" t="s">
        <x:v>208</x:v>
      </x:c>
      <x:c r="H9" s="34" t="s">
        <x:v>129</x:v>
      </x:c>
      <x:c r="I9" s="34" t="s">
        <x:v>129</x:v>
      </x:c>
      <x:c r="J9" s="45">
        <x:v>2.5</x:v>
      </x:c>
      <x:c r="K9" s="32" t="s">
        <x:v>212</x:v>
      </x:c>
    </x:row>
    <x:row r="10">
      <x:c r="A10" s="43" t="s">
        <x:v>207</x:v>
      </x:c>
      <x:c r="B10" s="32" t="s">
        <x:v>137</x:v>
      </x:c>
      <x:c r="C10" s="34">
        <x:v>38</x:v>
      </x:c>
      <x:c r="D10" s="34">
        <x:v>11</x:v>
      </x:c>
      <x:c r="E10" s="34">
        <x:v>0</x:v>
      </x:c>
      <x:c r="F10" s="44">
        <x:f t="shared" si="0"/>
        <x:v>196</x:v>
      </x:c>
      <x:c r="G10" s="32" t="s">
        <x:v>208</x:v>
      </x:c>
      <x:c r="H10" s="34" t="s">
        <x:v>213</x:v>
      </x:c>
      <x:c r="I10" s="34" t="s">
        <x:v>127</x:v>
      </x:c>
      <x:c r="J10" s="45">
        <x:v>1</x:v>
      </x:c>
      <x:c r="K10" s="32" t="s">
        <x:v>214</x:v>
      </x:c>
    </x:row>
    <x:row r="11">
      <x:c r="A11" s="43" t="s">
        <x:v>207</x:v>
      </x:c>
      <x:c r="B11" s="32" t="s">
        <x:v>215</x:v>
      </x:c>
      <x:c r="C11" s="34">
        <x:v>22.8</x:v>
      </x:c>
      <x:c r="D11" s="34">
        <x:v>3.4</x:v>
      </x:c>
      <x:c r="E11" s="34">
        <x:v>1.5</x:v>
      </x:c>
      <x:c r="F11" s="44">
        <x:f t="shared" si="0"/>
        <x:v>118</x:v>
      </x:c>
      <x:c r="G11" s="32" t="s">
        <x:v>208</x:v>
      </x:c>
      <x:c r="H11" s="34" t="s">
        <x:v>127</x:v>
      </x:c>
      <x:c r="I11" s="34" t="s">
        <x:v>127</x:v>
      </x:c>
      <x:c r="J11" s="45">
        <x:v>1.1</x:v>
      </x:c>
      <x:c r="K11" s="32" t="s">
        <x:v>216</x:v>
      </x:c>
    </x:row>
    <x:row r="12">
      <x:c r="A12" s="43" t="s">
        <x:v>207</x:v>
      </x:c>
      <x:c r="B12" s="32" t="s">
        <x:v>217</x:v>
      </x:c>
      <x:c r="C12" s="34">
        <x:v>30</x:v>
      </x:c>
      <x:c r="D12" s="34">
        <x:v>5</x:v>
      </x:c>
      <x:c r="E12" s="34">
        <x:v>1.1</x:v>
      </x:c>
      <x:c r="F12" s="44">
        <x:f t="shared" si="0"/>
        <x:v>150</x:v>
      </x:c>
      <x:c r="G12" s="32" t="s">
        <x:v>208</x:v>
      </x:c>
      <x:c r="H12" s="34" t="s">
        <x:v>127</x:v>
      </x:c>
      <x:c r="I12" s="34" t="s">
        <x:v>127</x:v>
      </x:c>
      <x:c r="J12" s="45">
        <x:v>2.5</x:v>
      </x:c>
      <x:c r="K12" s="32" t="s">
        <x:v>218</x:v>
      </x:c>
    </x:row>
    <x:row r="13">
      <x:c r="A13" s="43" t="s">
        <x:v>219</x:v>
      </x:c>
      <x:c r="B13" s="32" t="s">
        <x:v>143</x:v>
      </x:c>
      <x:c r="C13" s="34">
        <x:v>0</x:v>
      </x:c>
      <x:c r="D13" s="34">
        <x:v>22</x:v>
      </x:c>
      <x:c r="E13" s="34">
        <x:v>1.5</x:v>
      </x:c>
      <x:c r="F13" s="44">
        <x:f t="shared" si="0"/>
        <x:v>102</x:v>
      </x:c>
      <x:c r="G13" s="32" t="s">
        <x:v>208</x:v>
      </x:c>
      <x:c r="H13" s="34" t="s">
        <x:v>129</x:v>
      </x:c>
      <x:c r="I13" s="34" t="s">
        <x:v>129</x:v>
      </x:c>
      <x:c r="J13" s="45">
        <x:v>0.75</x:v>
      </x:c>
      <x:c r="K13" s="32" t="s">
        <x:v>220</x:v>
      </x:c>
    </x:row>
    <x:row r="14">
      <x:c r="A14" s="43" t="s">
        <x:v>219</x:v>
      </x:c>
      <x:c r="B14" s="32" t="s">
        <x:v>221</x:v>
      </x:c>
      <x:c r="C14" s="34">
        <x:v>0</x:v>
      </x:c>
      <x:c r="D14" s="34">
        <x:v>28</x:v>
      </x:c>
      <x:c r="E14" s="34">
        <x:v>3.3</x:v>
      </x:c>
      <x:c r="F14" s="44">
        <x:f t="shared" si="0"/>
        <x:v>142</x:v>
      </x:c>
      <x:c r="G14" s="32" t="s">
        <x:v>208</x:v>
      </x:c>
      <x:c r="H14" s="34" t="s">
        <x:v>127</x:v>
      </x:c>
      <x:c r="I14" s="34" t="s">
        <x:v>127</x:v>
      </x:c>
      <x:c r="J14" s="45">
        <x:v>0.75</x:v>
      </x:c>
      <x:c r="K14" s="32" t="s">
        <x:v>222</x:v>
      </x:c>
    </x:row>
    <x:row r="15">
      <x:c r="A15" s="43" t="s">
        <x:v>219</x:v>
      </x:c>
      <x:c r="B15" s="32" t="s">
        <x:v>128</x:v>
      </x:c>
      <x:c r="C15" s="34">
        <x:v>1.1</x:v>
      </x:c>
      <x:c r="D15" s="34">
        <x:v>12.6</x:v>
      </x:c>
      <x:c r="E15" s="34">
        <x:v>10</x:v>
      </x:c>
      <x:c r="F15" s="44">
        <x:f t="shared" si="0"/>
        <x:v>145</x:v>
      </x:c>
      <x:c r="G15" s="32" t="s">
        <x:v>208</x:v>
      </x:c>
      <x:c r="H15" s="34" t="s">
        <x:v>213</x:v>
      </x:c>
      <x:c r="I15" s="34" t="s">
        <x:v>127</x:v>
      </x:c>
      <x:c r="J15" s="45">
        <x:v>1</x:v>
      </x:c>
      <x:c r="K15" s="32" t="s">
        <x:v>223</x:v>
      </x:c>
    </x:row>
    <x:row r="16">
      <x:c r="A16" s="43" t="s">
        <x:v>219</x:v>
      </x:c>
      <x:c r="B16" s="32" t="s">
        <x:v>134</x:v>
      </x:c>
      <x:c r="C16" s="34">
        <x:v>5</x:v>
      </x:c>
      <x:c r="D16" s="34">
        <x:v>3.4</x:v>
      </x:c>
      <x:c r="E16" s="34">
        <x:v>0.1</x:v>
      </x:c>
      <x:c r="F16" s="44">
        <x:f t="shared" si="0"/>
        <x:v>35</x:v>
      </x:c>
      <x:c r="G16" s="32" t="s">
        <x:v>208</x:v>
      </x:c>
      <x:c r="H16" s="34" t="s">
        <x:v>213</x:v>
      </x:c>
      <x:c r="I16" s="34" t="s">
        <x:v>127</x:v>
      </x:c>
      <x:c r="J16" s="45">
        <x:v>1</x:v>
      </x:c>
      <x:c r="K16" s="32" t="s">
        <x:v>224</x:v>
      </x:c>
    </x:row>
    <x:row r="17">
      <x:c r="A17" s="43" t="s">
        <x:v>219</x:v>
      </x:c>
      <x:c r="B17" s="32" t="s">
        <x:v>138</x:v>
      </x:c>
      <x:c r="C17" s="34">
        <x:v>4</x:v>
      </x:c>
      <x:c r="D17" s="34">
        <x:v>10</x:v>
      </x:c>
      <x:c r="E17" s="34">
        <x:v>0.4</x:v>
      </x:c>
      <x:c r="F17" s="44">
        <x:f t="shared" si="0"/>
        <x:v>60</x:v>
      </x:c>
      <x:c r="G17" s="32" t="s">
        <x:v>208</x:v>
      </x:c>
      <x:c r="H17" s="34" t="s">
        <x:v>213</x:v>
      </x:c>
      <x:c r="I17" s="34" t="s">
        <x:v>127</x:v>
      </x:c>
      <x:c r="J17" s="45">
        <x:v>1</x:v>
      </x:c>
      <x:c r="K17" s="32" t="s">
        <x:v>225</x:v>
      </x:c>
    </x:row>
    <x:row r="18">
      <x:c r="A18" s="43" t="s">
        <x:v>219</x:v>
      </x:c>
      <x:c r="B18" s="32" t="s">
        <x:v>147</x:v>
      </x:c>
      <x:c r="C18" s="34">
        <x:v>0</x:v>
      </x:c>
      <x:c r="D18" s="34">
        <x:v>26</x:v>
      </x:c>
      <x:c r="E18" s="34">
        <x:v>1</x:v>
      </x:c>
      <x:c r="F18" s="44">
        <x:f t="shared" si="0"/>
        <x:v>113</x:v>
      </x:c>
      <x:c r="G18" s="32" t="s">
        <x:v>208</x:v>
      </x:c>
      <x:c r="H18" s="34" t="s">
        <x:v>213</x:v>
      </x:c>
      <x:c r="I18" s="34" t="s">
        <x:v>127</x:v>
      </x:c>
      <x:c r="J18" s="45">
        <x:v>1</x:v>
      </x:c>
      <x:c r="K18" s="32" t="s">
        <x:v>226</x:v>
      </x:c>
    </x:row>
    <x:row r="19">
      <x:c r="A19" s="43" t="s">
        <x:v>219</x:v>
      </x:c>
      <x:c r="B19" s="32" t="s">
        <x:v>145</x:v>
      </x:c>
      <x:c r="C19" s="34">
        <x:v>0</x:v>
      </x:c>
      <x:c r="D19" s="34">
        <x:v>20</x:v>
      </x:c>
      <x:c r="E19" s="34">
        <x:v>1</x:v>
      </x:c>
      <x:c r="F19" s="44">
        <x:f t="shared" si="0"/>
        <x:v>89</x:v>
      </x:c>
      <x:c r="G19" s="32" t="s">
        <x:v>208</x:v>
      </x:c>
      <x:c r="H19" s="34" t="s">
        <x:v>129</x:v>
      </x:c>
      <x:c r="I19" s="34" t="s">
        <x:v>129</x:v>
      </x:c>
      <x:c r="J19" s="45">
        <x:v>0.8</x:v>
      </x:c>
      <x:c r="K19" s="32" t="s">
        <x:v>227</x:v>
      </x:c>
    </x:row>
    <x:row r="20">
      <x:c r="A20" s="43" t="s">
        <x:v>228</x:v>
      </x:c>
      <x:c r="B20" s="32" t="s">
        <x:v>130</x:v>
      </x:c>
      <x:c r="C20" s="34">
        <x:v>0</x:v>
      </x:c>
      <x:c r="D20" s="34">
        <x:v>0</x:v>
      </x:c>
      <x:c r="E20" s="34">
        <x:v>100</x:v>
      </x:c>
      <x:c r="F20" s="44">
        <x:f t="shared" si="0"/>
        <x:v>900</x:v>
      </x:c>
      <x:c r="G20" s="32" t="s">
        <x:v>208</x:v>
      </x:c>
      <x:c r="H20" s="34" t="s">
        <x:v>213</x:v>
      </x:c>
      <x:c r="I20" s="34" t="s">
        <x:v>127</x:v>
      </x:c>
      <x:c r="J20" s="45">
        <x:v>1</x:v>
      </x:c>
      <x:c r="K20" s="32" t="s">
        <x:v>229</x:v>
      </x:c>
    </x:row>
    <x:row r="21">
      <x:c r="A21" s="43" t="s">
        <x:v>228</x:v>
      </x:c>
      <x:c r="B21" s="32" t="s">
        <x:v>148</x:v>
      </x:c>
      <x:c r="C21" s="34">
        <x:v>8.5</x:v>
      </x:c>
      <x:c r="D21" s="34">
        <x:v>2</x:v>
      </x:c>
      <x:c r="E21" s="34">
        <x:v>14.7</x:v>
      </x:c>
      <x:c r="F21" s="44">
        <x:f t="shared" si="0"/>
        <x:v>174</x:v>
      </x:c>
      <x:c r="G21" s="32" t="s">
        <x:v>208</x:v>
      </x:c>
      <x:c r="H21" s="34" t="s">
        <x:v>213</x:v>
      </x:c>
      <x:c r="I21" s="34" t="s">
        <x:v>127</x:v>
      </x:c>
      <x:c r="J21" s="45">
        <x:v>1</x:v>
      </x:c>
      <x:c r="K21" s="32" t="s">
        <x:v>230</x:v>
      </x:c>
    </x:row>
    <x:row r="22">
      <x:c r="A22" s="43" t="s">
        <x:v>228</x:v>
      </x:c>
      <x:c r="B22" s="32" t="s">
        <x:v>139</x:v>
      </x:c>
      <x:c r="C22" s="34">
        <x:v>21.7</x:v>
      </x:c>
      <x:c r="D22" s="34">
        <x:v>21.2</x:v>
      </x:c>
      <x:c r="E22" s="34">
        <x:v>49.9</x:v>
      </x:c>
      <x:c r="F22" s="44">
        <x:f t="shared" si="0"/>
        <x:v>621</x:v>
      </x:c>
      <x:c r="G22" s="32" t="s">
        <x:v>208</x:v>
      </x:c>
      <x:c r="H22" s="34" t="s">
        <x:v>213</x:v>
      </x:c>
      <x:c r="I22" s="34" t="s">
        <x:v>127</x:v>
      </x:c>
      <x:c r="J22" s="45">
        <x:v>1</x:v>
      </x:c>
      <x:c r="K22" s="32" t="s">
        <x:v>231</x:v>
      </x:c>
    </x:row>
    <x:row r="23">
      <x:c r="A23" s="43" t="s">
        <x:v>228</x:v>
      </x:c>
      <x:c r="B23" s="32" t="s">
        <x:v>142</x:v>
      </x:c>
      <x:c r="C23" s="34">
        <x:v>20</x:v>
      </x:c>
      <x:c r="D23" s="34">
        <x:v>25</x:v>
      </x:c>
      <x:c r="E23" s="34">
        <x:v>50</x:v>
      </x:c>
      <x:c r="F23" s="44">
        <x:f t="shared" si="0"/>
        <x:v>630</x:v>
      </x:c>
      <x:c r="G23" s="32" t="s">
        <x:v>208</x:v>
      </x:c>
      <x:c r="H23" s="34" t="s">
        <x:v>213</x:v>
      </x:c>
      <x:c r="I23" s="34" t="s">
        <x:v>127</x:v>
      </x:c>
      <x:c r="J23" s="45">
        <x:v>1</x:v>
      </x:c>
      <x:c r="K23" s="32" t="s">
        <x:v>232</x:v>
      </x:c>
    </x:row>
    <x:row r="24" ht="27">
      <x:c r="A24" s="43" t="s">
        <x:v>233</x:v>
      </x:c>
      <x:c r="B24" s="32" t="s">
        <x:v>144</x:v>
      </x:c>
      <x:c r="C24" s="34">
        <x:v>7</x:v>
      </x:c>
      <x:c r="D24" s="34">
        <x:v>2.8</x:v>
      </x:c>
      <x:c r="E24" s="34">
        <x:v>0.4</x:v>
      </x:c>
      <x:c r="F24" s="44">
        <x:f t="shared" si="0"/>
        <x:v>43</x:v>
      </x:c>
      <x:c r="G24" s="32" t="s">
        <x:v>208</x:v>
      </x:c>
      <x:c r="H24" s="34" t="s">
        <x:v>213</x:v>
      </x:c>
      <x:c r="I24" s="34" t="s">
        <x:v>129</x:v>
      </x:c>
      <x:c r="J24" s="45">
        <x:v>1</x:v>
      </x:c>
      <x:c r="K24" s="32" t="s">
        <x:v>234</x:v>
      </x:c>
    </x:row>
    <x:row r="25">
      <x:c r="A25" s="43" t="s">
        <x:v>233</x:v>
      </x:c>
      <x:c r="B25" s="32" t="s">
        <x:v>235</x:v>
      </x:c>
      <x:c r="C25" s="34">
        <x:v>2.9</x:v>
      </x:c>
      <x:c r="D25" s="34">
        <x:v>1.4</x:v>
      </x:c>
      <x:c r="E25" s="34">
        <x:v>0.2</x:v>
      </x:c>
      <x:c r="F25" s="44">
        <x:f t="shared" si="0"/>
        <x:v>19</x:v>
      </x:c>
      <x:c r="G25" s="32" t="s">
        <x:v>208</x:v>
      </x:c>
      <x:c r="H25" s="34" t="s">
        <x:v>213</x:v>
      </x:c>
      <x:c r="I25" s="34" t="s">
        <x:v>129</x:v>
      </x:c>
      <x:c r="J25" s="45">
        <x:v>1</x:v>
      </x:c>
      <x:c r="K25" s="32" t="s">
        <x:v>230</x:v>
      </x:c>
    </x:row>
    <x:row r="26">
      <x:c r="A26" s="43" t="s">
        <x:v>233</x:v>
      </x:c>
      <x:c r="B26" s="32" t="s">
        <x:v>236</x:v>
      </x:c>
      <x:c r="C26" s="34">
        <x:v>3.6</x:v>
      </x:c>
      <x:c r="D26" s="34">
        <x:v>2.9</x:v>
      </x:c>
      <x:c r="E26" s="34">
        <x:v>0.4</x:v>
      </x:c>
      <x:c r="F26" s="44">
        <x:f t="shared" si="0"/>
        <x:v>30</x:v>
      </x:c>
      <x:c r="G26" s="32" t="s">
        <x:v>208</x:v>
      </x:c>
      <x:c r="H26" s="34" t="s">
        <x:v>213</x:v>
      </x:c>
      <x:c r="I26" s="34" t="s">
        <x:v>129</x:v>
      </x:c>
      <x:c r="J26" s="45">
        <x:v>1</x:v>
      </x:c>
      <x:c r="K26" s="32" t="s">
        <x:v>230</x:v>
      </x:c>
    </x:row>
    <x:row r="27">
      <x:c r="A27" s="43" t="s">
        <x:v>233</x:v>
      </x:c>
      <x:c r="B27" s="32" t="s">
        <x:v>237</x:v>
      </x:c>
      <x:c r="C27" s="34">
        <x:v>3.9</x:v>
      </x:c>
      <x:c r="D27" s="34">
        <x:v>0.9</x:v>
      </x:c>
      <x:c r="E27" s="34">
        <x:v>0.2</x:v>
      </x:c>
      <x:c r="F27" s="44">
        <x:f t="shared" si="0"/>
        <x:v>21</x:v>
      </x:c>
      <x:c r="G27" s="32" t="s">
        <x:v>208</x:v>
      </x:c>
      <x:c r="H27" s="34" t="s">
        <x:v>213</x:v>
      </x:c>
      <x:c r="I27" s="34" t="s">
        <x:v>129</x:v>
      </x:c>
      <x:c r="J27" s="45">
        <x:v>1</x:v>
      </x:c>
      <x:c r="K27" s="32" t="s">
        <x:v>230</x:v>
      </x:c>
    </x:row>
    <x:row r="28">
      <x:c r="A28" s="43" t="s">
        <x:v>233</x:v>
      </x:c>
      <x:c r="B28" s="32" t="s">
        <x:v>238</x:v>
      </x:c>
      <x:c r="C28" s="34">
        <x:v>3.6</x:v>
      </x:c>
      <x:c r="D28" s="34">
        <x:v>0.7</x:v>
      </x:c>
      <x:c r="E28" s="34">
        <x:v>0.1</x:v>
      </x:c>
      <x:c r="F28" s="44">
        <x:f t="shared" si="0"/>
        <x:v>18</x:v>
      </x:c>
      <x:c r="G28" s="32" t="s">
        <x:v>208</x:v>
      </x:c>
      <x:c r="H28" s="34" t="s">
        <x:v>213</x:v>
      </x:c>
      <x:c r="I28" s="34" t="s">
        <x:v>129</x:v>
      </x:c>
      <x:c r="J28" s="45">
        <x:v>1</x:v>
      </x:c>
      <x:c r="K28" s="32" t="s">
        <x:v>230</x:v>
      </x:c>
    </x:row>
    <x:row r="29">
      <x:c r="A29" s="32" t="s">
        <x:v>207</x:v>
      </x:c>
      <x:c r="B29" s="32" t="s">
        <x:v>149</x:v>
      </x:c>
      <x:c r="C29" s="34">
        <x:v>27</x:v>
      </x:c>
      <x:c r="D29" s="34">
        <x:v>5.1</x:v>
      </x:c>
      <x:c r="E29" s="34">
        <x:v>0.1</x:v>
      </x:c>
      <x:c r="F29" s="44">
        <x:f t="shared" si="0"/>
        <x:v>129</x:v>
      </x:c>
      <x:c r="G29" s="32" t="s">
        <x:v>208</x:v>
      </x:c>
      <x:c r="H29" s="34" t="s">
        <x:v>127</x:v>
      </x:c>
      <x:c r="I29" s="34" t="s">
        <x:v>127</x:v>
      </x:c>
      <x:c r="J29" s="45">
        <x:v>2.4</x:v>
      </x:c>
      <x:c r="K29" s="32" t="s">
        <x:v>239</x:v>
      </x:c>
    </x:row>
    <x:row r="30">
      <x:c r="A30" s="32" t="s">
        <x:v>228</x:v>
      </x:c>
      <x:c r="B30" s="32" t="s">
        <x:v>135</x:v>
      </x:c>
      <x:c r="C30" s="34">
        <x:v>30.2</x:v>
      </x:c>
      <x:c r="D30" s="34">
        <x:v>18.2</x:v>
      </x:c>
      <x:c r="E30" s="34">
        <x:v>43.8</x:v>
      </x:c>
      <x:c r="F30" s="44">
        <x:f t="shared" si="0"/>
        <x:v>588</x:v>
      </x:c>
      <x:c r="G30" s="32" t="s">
        <x:v>208</x:v>
      </x:c>
      <x:c r="H30" s="34" t="s">
        <x:v>213</x:v>
      </x:c>
      <x:c r="I30" s="34" t="s">
        <x:v>127</x:v>
      </x:c>
      <x:c r="J30" s="45">
        <x:v>1</x:v>
      </x:c>
      <x:c r="K30" s="32" t="s">
        <x:v>240</x:v>
      </x:c>
    </x:row>
    <x:row r="31">
      <x:c r="A31" s="32" t="s">
        <x:v>233</x:v>
      </x:c>
      <x:c r="B31" s="32" t="s">
        <x:v>131</x:v>
      </x:c>
      <x:c r="C31" s="34">
        <x:v>9.6</x:v>
      </x:c>
      <x:c r="D31" s="34">
        <x:v>0.9</x:v>
      </x:c>
      <x:c r="E31" s="34">
        <x:v>0.2</x:v>
      </x:c>
      <x:c r="F31" s="44">
        <x:f t="shared" si="0"/>
        <x:v>44</x:v>
      </x:c>
      <x:c r="G31" s="32" t="s">
        <x:v>208</x:v>
      </x:c>
      <x:c r="H31" s="34" t="s">
        <x:v>213</x:v>
      </x:c>
      <x:c r="I31" s="34" t="s">
        <x:v>129</x:v>
      </x:c>
      <x:c r="J31" s="45">
        <x:v>1</x:v>
      </x:c>
      <x:c r="K31" s="32" t="s">
        <x:v>230</x:v>
      </x:c>
    </x:row>
    <x:row r="32">
      <x:c r="A32" s="3" t="s">
        <x:v>219</x:v>
      </x:c>
      <x:c r="B32" s="3" t="s">
        <x:v>241</x:v>
      </x:c>
      <x:c r="C32" s="46">
        <x:v>4.5</x:v>
      </x:c>
      <x:c r="D32" s="46">
        <x:v>3.5</x:v>
      </x:c>
      <x:c r="E32" s="46">
        <x:v>3.5</x:v>
      </x:c>
      <x:c r="F32" s="47">
        <x:f t="shared" si="0"/>
        <x:v>64</x:v>
      </x:c>
      <x:c r="G32" s="3" t="s">
        <x:v>208</x:v>
      </x:c>
      <x:c r="H32" s="46" t="s">
        <x:v>213</x:v>
      </x:c>
      <x:c r="I32" s="46" t="s">
        <x:v>127</x:v>
      </x:c>
      <x:c r="J32" s="48">
        <x:v>1</x:v>
      </x:c>
      <x:c r="K32" s="3"/>
    </x:row>
    <x:row r="33">
      <x:c r="A33" s="3"/>
      <x:c r="B33" s="3"/>
      <x:c r="C33" s="46"/>
      <x:c r="D33" s="46"/>
      <x:c r="E33" s="46"/>
      <x:c r="F33" s="47" t="str">
        <x:f t="shared" si="0"/>
      </x:c>
      <x:c r="G33" s="3"/>
      <x:c r="H33" s="46"/>
      <x:c r="I33" s="46"/>
      <x:c r="J33" s="48"/>
      <x:c r="K33" s="3"/>
    </x:row>
    <x:row r="34">
      <x:c r="A34" s="3"/>
      <x:c r="B34" s="3"/>
      <x:c r="C34" s="46"/>
      <x:c r="D34" s="46"/>
      <x:c r="E34" s="46"/>
      <x:c r="F34" s="47" t="str">
        <x:f t="shared" si="0"/>
      </x:c>
      <x:c r="G34" s="3"/>
      <x:c r="H34" s="46"/>
      <x:c r="I34" s="46"/>
      <x:c r="J34" s="48"/>
      <x:c r="K34" s="3"/>
    </x:row>
    <x:row r="35">
      <x:c r="A35" s="3"/>
      <x:c r="B35" s="3"/>
      <x:c r="C35" s="46"/>
      <x:c r="D35" s="46"/>
      <x:c r="E35" s="46"/>
      <x:c r="F35" s="47" t="str">
        <x:f t="shared" si="0"/>
      </x:c>
      <x:c r="G35" s="3"/>
      <x:c r="H35" s="46"/>
      <x:c r="I35" s="46"/>
      <x:c r="J35" s="48"/>
      <x:c r="K35" s="3"/>
    </x:row>
    <x:row r="36">
      <x:c r="A36" s="3"/>
      <x:c r="B36" s="3"/>
      <x:c r="C36" s="46"/>
      <x:c r="D36" s="46"/>
      <x:c r="E36" s="46"/>
      <x:c r="F36" s="47" t="str">
        <x:f t="shared" si="0"/>
      </x:c>
      <x:c r="G36" s="3"/>
      <x:c r="H36" s="46"/>
      <x:c r="I36" s="46"/>
      <x:c r="J36" s="48"/>
      <x:c r="K36" s="3"/>
    </x:row>
    <x:row r="37">
      <x:c r="A37" s="3"/>
      <x:c r="B37" s="3"/>
      <x:c r="C37" s="46"/>
      <x:c r="D37" s="46"/>
      <x:c r="E37" s="46"/>
      <x:c r="F37" s="47" t="str">
        <x:f t="shared" si="0"/>
      </x:c>
      <x:c r="G37" s="3"/>
      <x:c r="H37" s="46"/>
      <x:c r="I37" s="46"/>
      <x:c r="J37" s="48"/>
      <x:c r="K37" s="3"/>
    </x:row>
    <x:row r="38" ht="15.75">
      <x:c r="A38" s="49" t="s">
        <x:v>242</x:v>
      </x:c>
      <x:c r="B38" s="50"/>
      <x:c r="C38" s="50"/>
      <x:c r="D38" s="50"/>
      <x:c r="E38" s="50"/>
      <x:c r="F38" s="50"/>
      <x:c r="G38" s="50"/>
      <x:c r="H38" s="50"/>
      <x:c r="I38" s="50"/>
      <x:c r="J38" s="50"/>
      <x:c r="K38" s="51"/>
    </x:row>
    <x:row r="39" ht="32" customHeight="1">
      <x:c r="A39" s="52" t="s">
        <x:v>243</x:v>
      </x:c>
      <x:c r="B39" s="53"/>
      <x:c r="C39" s="53"/>
      <x:c r="D39" s="53"/>
      <x:c r="E39" s="53"/>
      <x:c r="F39" s="53"/>
      <x:c r="G39" s="53"/>
      <x:c r="H39" s="53"/>
      <x:c r="I39" s="53"/>
      <x:c r="J39" s="53"/>
      <x:c r="K39" s="54"/>
    </x:row>
    <x:row r="40" ht="32" customHeight="1">
      <x:c r="A40" s="52" t="s">
        <x:v>244</x:v>
      </x:c>
      <x:c r="B40" s="53"/>
      <x:c r="C40" s="53"/>
      <x:c r="D40" s="53"/>
      <x:c r="E40" s="53"/>
      <x:c r="F40" s="53"/>
      <x:c r="G40" s="53"/>
      <x:c r="H40" s="53"/>
      <x:c r="I40" s="53"/>
      <x:c r="J40" s="53"/>
      <x:c r="K40" s="54"/>
    </x:row>
    <x:row r="41" ht="32" customHeight="1">
      <x:c r="A41" s="52" t="s">
        <x:v>245</x:v>
      </x:c>
      <x:c r="B41" s="53"/>
      <x:c r="C41" s="53"/>
      <x:c r="D41" s="53"/>
      <x:c r="E41" s="53"/>
      <x:c r="F41" s="53"/>
      <x:c r="G41" s="53"/>
      <x:c r="H41" s="53"/>
      <x:c r="I41" s="53"/>
      <x:c r="J41" s="53"/>
      <x:c r="K41" s="54"/>
    </x:row>
  </x:sheetData>
  <x:mergeCells>
    <x:mergeCell ref="A1:K1"/>
    <x:mergeCell ref="A3:K3"/>
    <x:mergeCell ref="A38:K38"/>
    <x:mergeCell ref="A39:K39"/>
    <x:mergeCell ref="A40:K40"/>
    <x:mergeCell ref="A41:K41"/>
  </x:mergeCells>
  <x:dataValidations count="2">
    <x:dataValidation type="list" allowBlank="1" showInputMessage="1" showErrorMessage="1" sqref="H6:H37">
      <x:formula1>"生重,熟重,无需换算"</x:formula1>
    </x:dataValidation>
    <x:dataValidation type="list" allowBlank="1" showInputMessage="1" showErrorMessage="1" sqref="I6:I37">
      <x:formula1>"生重,熟重"</x:formula1>
    </x:dataValidation>
  </x:dataValidations>
  <x:pageMargins left="0.7" right="0.7" top="0.75" bottom="0.75" header="0.3" footer="0.3"/>
  <x:legacyDrawing xmlns:r="http://schemas.openxmlformats.org/officeDocument/2006/relationships" r:id="R74b9b83c82c94d8b"/>
</x:worksheet>
</file>

<file path=xl/worksheets/sheet6.xml><?xml version="1.0" encoding="utf-8"?>
<x:worksheet xmlns:x="http://schemas.openxmlformats.org/spreadsheetml/2006/main">
  <x:sheetPr>
    <x:tabColor rgb="FFD69E00"/>
  </x:sheetPr>
  <x:sheetViews>
    <x:sheetView showGridLines="0" workbookViewId="0"/>
  </x:sheetViews>
  <x:sheetFormatPr defaultColWidth="9" defaultRowHeight="13.5"/>
  <x:cols>
    <x:col min="1" max="1" width="10" customWidth="1"/>
    <x:col min="2" max="2" width="9" customWidth="1"/>
    <x:col min="3" max="3" width="17" customWidth="1"/>
    <x:col min="4" max="7" width="11" customWidth="1"/>
    <x:col min="8" max="8" width="18" customWidth="1"/>
    <x:col min="9" max="12" width="11" customWidth="1"/>
    <x:col min="13" max="13" width="16" customWidth="1"/>
    <x:col min="14" max="17" width="11" customWidth="1"/>
    <x:col min="18" max="18" width="15" customWidth="1"/>
    <x:col min="19" max="22" width="11" customWidth="1"/>
    <x:col min="23" max="25" width="12" customWidth="1"/>
    <x:col min="26" max="26" width="14" customWidth="1"/>
  </x:cols>
  <x:sheetData>
    <x:row r="1" ht="30" customHeight="1">
      <x:c r="A1" s="22" t="s">
        <x:v>246</x:v>
      </x:c>
    </x:row>
    <x:row r="3" ht="22" customHeight="1">
      <x:c r="A3" s="23" t="s">
        <x:v>247</x:v>
      </x:c>
    </x:row>
    <x:row r="4">
      <x:c r="A4" s="24" t="s">
        <x:v>96</x:v>
      </x:c>
      <x:c r="B4" s="25">
        <x:v>1</x:v>
      </x:c>
      <x:c r="C4" s="26"/>
      <x:c r="D4" s="24" t="s">
        <x:v>43</x:v>
      </x:c>
      <x:c r="E4" s="27" t="e">
        <x:f>IFERROR(VLOOKUP(B4,V6周期计划!$A$20:$J$50,3,FALSE),"")</x:f>
        <x:v>#NAME?</x:v>
      </x:c>
      <x:c r="F4" s="26"/>
      <x:c r="G4" s="24" t="s">
        <x:v>97</x:v>
      </x:c>
      <x:c r="H4" s="27" t="e">
        <x:f>IF(B4&gt;CycleLength,"",IFERROR(VLOOKUP(B4,V6周期计划!$A$20:$J$50,7,FALSE),""))</x:f>
        <x:v>#NAME?</x:v>
      </x:c>
      <x:c r="I4" s="26"/>
      <x:c r="J4" s="24" t="s">
        <x:v>98</x:v>
      </x:c>
      <x:c r="K4" s="27" t="e">
        <x:f>IF(B4&gt;CycleLength,"",IFERROR(VLOOKUP(B4,V6周期计划!$A$20:$J$50,8,FALSE),""))</x:f>
        <x:v>#NAME?</x:v>
      </x:c>
      <x:c r="L4" s="26"/>
      <x:c r="M4" s="24" t="s">
        <x:v>99</x:v>
      </x:c>
      <x:c r="N4" s="27" t="e">
        <x:f>IF(B4&gt;CycleLength,"",IFERROR(VLOOKUP(B4,V6周期计划!$A$20:$J$50,9,FALSE),""))</x:f>
        <x:v>#NAME?</x:v>
      </x:c>
      <x:c r="O4" s="26"/>
      <x:c r="P4" s="24" t="s">
        <x:v>100</x:v>
      </x:c>
      <x:c r="Q4" s="27" t="e">
        <x:f>IF(B4&gt;CycleLength,"",IFERROR(VLOOKUP(B4,V6周期计划!$A$20:$J$50,10,FALSE),""))</x:f>
        <x:v>#NAME?</x:v>
      </x:c>
    </x:row>
    <x:row r="6" ht="22" customHeight="1">
      <x:c r="A6" s="23" t="s">
        <x:v>248</x:v>
      </x:c>
    </x:row>
    <x:row r="7">
      <x:c r="A7" s="28" t="s">
        <x:v>69</x:v>
      </x:c>
      <x:c r="B7" s="28" t="s">
        <x:v>70</x:v>
      </x:c>
      <x:c r="C7" s="28" t="s">
        <x:v>71</x:v>
      </x:c>
      <x:c r="D7" s="28" t="s">
        <x:v>72</x:v>
      </x:c>
    </x:row>
    <x:row r="8">
      <x:c r="A8" s="26" t="s">
        <x:v>74</x:v>
      </x:c>
      <x:c r="B8" s="29">
        <x:v>0.3</x:v>
      </x:c>
      <x:c r="C8" s="29">
        <x:v>0.3</x:v>
      </x:c>
      <x:c r="D8" s="29">
        <x:v>0.3</x:v>
      </x:c>
    </x:row>
    <x:row r="9">
      <x:c r="A9" s="26" t="s">
        <x:v>76</x:v>
      </x:c>
      <x:c r="B9" s="29">
        <x:v>0.4</x:v>
      </x:c>
      <x:c r="C9" s="29">
        <x:v>0.4</x:v>
      </x:c>
      <x:c r="D9" s="29">
        <x:v>0.4</x:v>
      </x:c>
    </x:row>
    <x:row r="10">
      <x:c r="A10" s="26" t="s">
        <x:v>249</x:v>
      </x:c>
      <x:c r="B10" s="29">
        <x:v>0.3</x:v>
      </x:c>
      <x:c r="C10" s="29">
        <x:v>0.3</x:v>
      </x:c>
      <x:c r="D10" s="29">
        <x:v>0.3</x:v>
      </x:c>
    </x:row>
    <x:row r="11">
      <x:c r="A11" s="30" t="s">
        <x:v>82</x:v>
      </x:c>
      <x:c r="B11" s="31" t="n">
        <x:f>SUM(B8:B10)</x:f>
        <x:v>1</x:v>
      </x:c>
      <x:c r="C11" s="31" t="n">
        <x:f>SUM(C8:C10)</x:f>
        <x:v>1</x:v>
      </x:c>
      <x:c r="D11" s="31" t="n">
        <x:f>SUM(D8:D10)</x:f>
        <x:v>1</x:v>
      </x:c>
    </x:row>
    <x:row r="13" ht="22" customHeight="1">
      <x:c r="A13" s="23" t="s">
        <x:v>250</x:v>
      </x:c>
    </x:row>
    <x:row r="14">
      <x:c r="A14" s="28" t="s">
        <x:v>69</x:v>
      </x:c>
      <x:c r="B14" s="28" t="s">
        <x:v>251</x:v>
      </x:c>
      <x:c r="C14" s="28" t="s">
        <x:v>110</x:v>
      </x:c>
      <x:c r="D14" s="28" t="s">
        <x:v>112</x:v>
      </x:c>
      <x:c r="E14" s="28" t="s">
        <x:v>252</x:v>
      </x:c>
      <x:c r="F14" s="28" t="s">
        <x:v>253</x:v>
      </x:c>
      <x:c r="G14" s="28" t="s">
        <x:v>254</x:v>
      </x:c>
      <x:c r="H14" s="28" t="s">
        <x:v>113</x:v>
      </x:c>
      <x:c r="I14" s="28" t="s">
        <x:v>115</x:v>
      </x:c>
      <x:c r="J14" s="28" t="s">
        <x:v>255</x:v>
      </x:c>
      <x:c r="K14" s="28" t="s">
        <x:v>256</x:v>
      </x:c>
      <x:c r="L14" s="28" t="s">
        <x:v>257</x:v>
      </x:c>
      <x:c r="M14" s="28" t="s">
        <x:v>116</x:v>
      </x:c>
      <x:c r="N14" s="28" t="s">
        <x:v>117</x:v>
      </x:c>
      <x:c r="O14" s="28" t="s">
        <x:v>258</x:v>
      </x:c>
      <x:c r="P14" s="28" t="s">
        <x:v>259</x:v>
      </x:c>
      <x:c r="Q14" s="28" t="s">
        <x:v>260</x:v>
      </x:c>
      <x:c r="R14" s="28" t="s">
        <x:v>118</x:v>
      </x:c>
      <x:c r="S14" s="28" t="s">
        <x:v>119</x:v>
      </x:c>
      <x:c r="T14" s="28" t="s">
        <x:v>261</x:v>
      </x:c>
      <x:c r="U14" s="28" t="s">
        <x:v>262</x:v>
      </x:c>
      <x:c r="V14" s="28" t="s">
        <x:v>263</x:v>
      </x:c>
      <x:c r="W14" s="28" t="s">
        <x:v>120</x:v>
      </x:c>
      <x:c r="X14" s="28" t="s">
        <x:v>121</x:v>
      </x:c>
      <x:c r="Y14" s="28" t="s">
        <x:v>122</x:v>
      </x:c>
      <x:c r="Z14" s="28" t="s">
        <x:v>123</x:v>
      </x:c>
    </x:row>
    <x:row r="15">
      <x:c r="A15" s="32" t="s">
        <x:v>74</x:v>
      </x:c>
      <x:c r="B15" s="33" t="n">
        <x:f>B8</x:f>
        <x:v>0.3</x:v>
      </x:c>
      <x:c r="C15" s="34" t="s">
        <x:v>133</x:v>
      </x:c>
      <x:c r="D15" s="35" t="e">
        <x:f>IFERROR($H$4*$B15/VLOOKUP(C15,食物数据库V3!$B$6:$F$36,2,FALSE)*100,0)</x:f>
        <x:v>#NAME?</x:v>
      </x:c>
      <x:c r="E15" s="35" t="e">
        <x:f>IFERROR(D15*VLOOKUP(C15,食物数据库V3!$B$6:$F$36,2,FALSE)/100,0)</x:f>
        <x:v>#NAME?</x:v>
      </x:c>
      <x:c r="F15" s="35" t="e">
        <x:f>IFERROR(D15*VLOOKUP(C15,食物数据库V3!$B$6:$F$36,3,FALSE)/100,0)</x:f>
        <x:v>#NAME?</x:v>
      </x:c>
      <x:c r="G15" s="35" t="e">
        <x:f>IFERROR(D15*VLOOKUP(C15,食物数据库V3!$B$6:$F$36,4,FALSE)/100,0)</x:f>
        <x:v>#NAME?</x:v>
      </x:c>
      <x:c r="H15" s="36" t="s">
        <x:v>128</x:v>
      </x:c>
      <x:c r="I15" s="35" t="e">
        <x:f>IFERROR($K$4*$B15/VLOOKUP(H15,食物数据库V3!$B$6:$F$36,3,FALSE)*100,0)</x:f>
        <x:v>#NAME?</x:v>
      </x:c>
      <x:c r="J15" s="35" t="e">
        <x:f>IFERROR(I15*VLOOKUP(H15,食物数据库V3!$B$6:$F$36,2,FALSE)/100,0)</x:f>
        <x:v>#NAME?</x:v>
      </x:c>
      <x:c r="K15" s="35" t="e">
        <x:f>IFERROR(I15*VLOOKUP(H15,食物数据库V3!$B$6:$F$36,3,FALSE)/100,0)</x:f>
        <x:v>#NAME?</x:v>
      </x:c>
      <x:c r="L15" s="35" t="e">
        <x:f>IFERROR(I15*VLOOKUP(H15,食物数据库V3!$B$6:$F$36,4,FALSE)/100,0)</x:f>
        <x:v>#NAME?</x:v>
      </x:c>
      <x:c r="M15" s="36" t="s">
        <x:v>139</x:v>
      </x:c>
      <x:c r="N15" s="35" t="e">
        <x:f>IFERROR($N$4*$B15/VLOOKUP(M15,食物数据库V3!$B$6:$F$36,4,FALSE)*100,0)</x:f>
        <x:v>#NAME?</x:v>
      </x:c>
      <x:c r="O15" s="35" t="e">
        <x:f>IFERROR(N15*VLOOKUP(M15,食物数据库V3!$B$6:$F$36,2,FALSE)/100,0)</x:f>
        <x:v>#NAME?</x:v>
      </x:c>
      <x:c r="P15" s="35" t="e">
        <x:f>IFERROR(N15*VLOOKUP(M15,食物数据库V3!$B$6:$F$36,3,FALSE)/100,0)</x:f>
        <x:v>#NAME?</x:v>
      </x:c>
      <x:c r="Q15" s="35" t="e">
        <x:f>IFERROR(N15*VLOOKUP(M15,食物数据库V3!$B$6:$F$36,4,FALSE)/100,0)</x:f>
        <x:v>#NAME?</x:v>
      </x:c>
      <x:c r="R15" s="36" t="s">
        <x:v>237</x:v>
      </x:c>
      <x:c r="S15" s="36">
        <x:v>150</x:v>
      </x:c>
      <x:c r="T15" s="35" t="e">
        <x:f>IFERROR(S15*VLOOKUP(R15,食物数据库V3!$B$6:$F$36,2,FALSE)/100,0)</x:f>
        <x:v>#NAME?</x:v>
      </x:c>
      <x:c r="U15" s="35" t="e">
        <x:f>IFERROR(S15*VLOOKUP(R15,食物数据库V3!$B$6:$F$36,3,FALSE)/100,0)</x:f>
        <x:v>#NAME?</x:v>
      </x:c>
      <x:c r="V15" s="35" t="e">
        <x:f>IFERROR(S15*VLOOKUP(R15,食物数据库V3!$B$6:$F$36,4,FALSE)/100,0)</x:f>
        <x:v>#NAME?</x:v>
      </x:c>
      <x:c r="W15" s="35" t="e">
        <x:f>SUM(E15,J15,O15,T15)</x:f>
        <x:v>#NAME?</x:v>
      </x:c>
      <x:c r="X15" s="35" t="e">
        <x:f>SUM(F15,K15,P15,U15)</x:f>
        <x:v>#NAME?</x:v>
      </x:c>
      <x:c r="Y15" s="35" t="e">
        <x:f>SUM(G15,L15,Q15,V15)</x:f>
        <x:v>#NAME?</x:v>
      </x:c>
      <x:c r="Z15" s="35" t="e">
        <x:f>W15*4+X15*4+Y15*9</x:f>
        <x:v>#NAME?</x:v>
      </x:c>
    </x:row>
    <x:row r="16">
      <x:c r="A16" s="32" t="s">
        <x:v>76</x:v>
      </x:c>
      <x:c r="B16" s="33" t="n">
        <x:f>B9</x:f>
        <x:v>0.4</x:v>
      </x:c>
      <x:c r="C16" s="34" t="s">
        <x:v>141</x:v>
      </x:c>
      <x:c r="D16" s="35" t="e">
        <x:f>IFERROR($H$4*$B16/VLOOKUP(C16,食物数据库V3!$B$6:$F$36,2,FALSE)*100,0)</x:f>
        <x:v>#NAME?</x:v>
      </x:c>
      <x:c r="E16" s="35" t="e">
        <x:f>IFERROR(D16*VLOOKUP(C16,食物数据库V3!$B$6:$F$36,2,FALSE)/100,0)</x:f>
        <x:v>#NAME?</x:v>
      </x:c>
      <x:c r="F16" s="35" t="e">
        <x:f>IFERROR(D16*VLOOKUP(C16,食物数据库V3!$B$6:$F$36,3,FALSE)/100,0)</x:f>
        <x:v>#NAME?</x:v>
      </x:c>
      <x:c r="G16" s="35" t="e">
        <x:f>IFERROR(D16*VLOOKUP(C16,食物数据库V3!$B$6:$F$36,4,FALSE)/100,0)</x:f>
        <x:v>#NAME?</x:v>
      </x:c>
      <x:c r="H16" s="36" t="s">
        <x:v>143</x:v>
      </x:c>
      <x:c r="I16" s="35" t="e">
        <x:f>IFERROR($K$4*$B16/VLOOKUP(H16,食物数据库V3!$B$6:$F$36,3,FALSE)*100,0)</x:f>
        <x:v>#NAME?</x:v>
      </x:c>
      <x:c r="J16" s="35" t="e">
        <x:f>IFERROR(I16*VLOOKUP(H16,食物数据库V3!$B$6:$F$36,2,FALSE)/100,0)</x:f>
        <x:v>#NAME?</x:v>
      </x:c>
      <x:c r="K16" s="35" t="e">
        <x:f>IFERROR(I16*VLOOKUP(H16,食物数据库V3!$B$6:$F$36,3,FALSE)/100,0)</x:f>
        <x:v>#NAME?</x:v>
      </x:c>
      <x:c r="L16" s="35" t="e">
        <x:f>IFERROR(I16*VLOOKUP(H16,食物数据库V3!$B$6:$F$36,4,FALSE)/100,0)</x:f>
        <x:v>#NAME?</x:v>
      </x:c>
      <x:c r="M16" s="36" t="s">
        <x:v>130</x:v>
      </x:c>
      <x:c r="N16" s="35" t="e">
        <x:f>IFERROR($N$4*$B16/VLOOKUP(M16,食物数据库V3!$B$6:$F$36,4,FALSE)*100,0)</x:f>
        <x:v>#NAME?</x:v>
      </x:c>
      <x:c r="O16" s="35" t="e">
        <x:f>IFERROR(N16*VLOOKUP(M16,食物数据库V3!$B$6:$F$36,2,FALSE)/100,0)</x:f>
        <x:v>#NAME?</x:v>
      </x:c>
      <x:c r="P16" s="35" t="e">
        <x:f>IFERROR(N16*VLOOKUP(M16,食物数据库V3!$B$6:$F$36,3,FALSE)/100,0)</x:f>
        <x:v>#NAME?</x:v>
      </x:c>
      <x:c r="Q16" s="35" t="e">
        <x:f>IFERROR(N16*VLOOKUP(M16,食物数据库V3!$B$6:$F$36,4,FALSE)/100,0)</x:f>
        <x:v>#NAME?</x:v>
      </x:c>
      <x:c r="R16" s="36" t="s">
        <x:v>144</x:v>
      </x:c>
      <x:c r="S16" s="36">
        <x:v>150</x:v>
      </x:c>
      <x:c r="T16" s="35" t="e">
        <x:f>IFERROR(S16*VLOOKUP(R16,食物数据库V3!$B$6:$F$36,2,FALSE)/100,0)</x:f>
        <x:v>#NAME?</x:v>
      </x:c>
      <x:c r="U16" s="35" t="e">
        <x:f>IFERROR(S16*VLOOKUP(R16,食物数据库V3!$B$6:$F$36,3,FALSE)/100,0)</x:f>
        <x:v>#NAME?</x:v>
      </x:c>
      <x:c r="V16" s="35" t="e">
        <x:f>IFERROR(S16*VLOOKUP(R16,食物数据库V3!$B$6:$F$36,4,FALSE)/100,0)</x:f>
        <x:v>#NAME?</x:v>
      </x:c>
      <x:c r="W16" s="35" t="e">
        <x:f>SUM(E16,J16,O16,T16)</x:f>
        <x:v>#NAME?</x:v>
      </x:c>
      <x:c r="X16" s="35" t="e">
        <x:f>SUM(F16,K16,P16,U16)</x:f>
        <x:v>#NAME?</x:v>
      </x:c>
      <x:c r="Y16" s="35" t="e">
        <x:f>SUM(G16,L16,Q16,V16)</x:f>
        <x:v>#NAME?</x:v>
      </x:c>
      <x:c r="Z16" s="35" t="e">
        <x:f>W16*4+X16*4+Y16*9</x:f>
        <x:v>#NAME?</x:v>
      </x:c>
    </x:row>
    <x:row r="17">
      <x:c r="A17" s="32" t="s">
        <x:v>249</x:v>
      </x:c>
      <x:c r="B17" s="33" t="n">
        <x:f>B10</x:f>
        <x:v>0.3</x:v>
      </x:c>
      <x:c r="C17" s="34" t="s">
        <x:v>146</x:v>
      </x:c>
      <x:c r="D17" s="35" t="e">
        <x:f>IFERROR($H$4*$B17/VLOOKUP(C17,食物数据库V3!$B$6:$F$36,2,FALSE)*100,0)</x:f>
        <x:v>#NAME?</x:v>
      </x:c>
      <x:c r="E17" s="35" t="e">
        <x:f>IFERROR(D17*VLOOKUP(C17,食物数据库V3!$B$6:$F$36,2,FALSE)/100,0)</x:f>
        <x:v>#NAME?</x:v>
      </x:c>
      <x:c r="F17" s="35" t="e">
        <x:f>IFERROR(D17*VLOOKUP(C17,食物数据库V3!$B$6:$F$36,3,FALSE)/100,0)</x:f>
        <x:v>#NAME?</x:v>
      </x:c>
      <x:c r="G17" s="35" t="e">
        <x:f>IFERROR(D17*VLOOKUP(C17,食物数据库V3!$B$6:$F$36,4,FALSE)/100,0)</x:f>
        <x:v>#NAME?</x:v>
      </x:c>
      <x:c r="H17" s="36" t="s">
        <x:v>143</x:v>
      </x:c>
      <x:c r="I17" s="35" t="e">
        <x:f>IFERROR($K$4*$B17/VLOOKUP(H17,食物数据库V3!$B$6:$F$36,3,FALSE)*100,0)</x:f>
        <x:v>#NAME?</x:v>
      </x:c>
      <x:c r="J17" s="35" t="e">
        <x:f>IFERROR(I17*VLOOKUP(H17,食物数据库V3!$B$6:$F$36,2,FALSE)/100,0)</x:f>
        <x:v>#NAME?</x:v>
      </x:c>
      <x:c r="K17" s="35" t="e">
        <x:f>IFERROR(I17*VLOOKUP(H17,食物数据库V3!$B$6:$F$36,3,FALSE)/100,0)</x:f>
        <x:v>#NAME?</x:v>
      </x:c>
      <x:c r="L17" s="35" t="e">
        <x:f>IFERROR(I17*VLOOKUP(H17,食物数据库V3!$B$6:$F$36,4,FALSE)/100,0)</x:f>
        <x:v>#NAME?</x:v>
      </x:c>
      <x:c r="M17" s="36" t="s">
        <x:v>130</x:v>
      </x:c>
      <x:c r="N17" s="35" t="e">
        <x:f>IFERROR($N$4*$B17/VLOOKUP(M17,食物数据库V3!$B$6:$F$36,4,FALSE)*100,0)</x:f>
        <x:v>#NAME?</x:v>
      </x:c>
      <x:c r="O17" s="35" t="e">
        <x:f>IFERROR(N17*VLOOKUP(M17,食物数据库V3!$B$6:$F$36,2,FALSE)/100,0)</x:f>
        <x:v>#NAME?</x:v>
      </x:c>
      <x:c r="P17" s="35" t="e">
        <x:f>IFERROR(N17*VLOOKUP(M17,食物数据库V3!$B$6:$F$36,3,FALSE)/100,0)</x:f>
        <x:v>#NAME?</x:v>
      </x:c>
      <x:c r="Q17" s="35" t="e">
        <x:f>IFERROR(N17*VLOOKUP(M17,食物数据库V3!$B$6:$F$36,4,FALSE)/100,0)</x:f>
        <x:v>#NAME?</x:v>
      </x:c>
      <x:c r="R17" s="36" t="s">
        <x:v>235</x:v>
      </x:c>
      <x:c r="S17" s="36">
        <x:v>150</x:v>
      </x:c>
      <x:c r="T17" s="35" t="e">
        <x:f>IFERROR(S17*VLOOKUP(R17,食物数据库V3!$B$6:$F$36,2,FALSE)/100,0)</x:f>
        <x:v>#NAME?</x:v>
      </x:c>
      <x:c r="U17" s="35" t="e">
        <x:f>IFERROR(S17*VLOOKUP(R17,食物数据库V3!$B$6:$F$36,3,FALSE)/100,0)</x:f>
        <x:v>#NAME?</x:v>
      </x:c>
      <x:c r="V17" s="35" t="e">
        <x:f>IFERROR(S17*VLOOKUP(R17,食物数据库V3!$B$6:$F$36,4,FALSE)/100,0)</x:f>
        <x:v>#NAME?</x:v>
      </x:c>
      <x:c r="W17" s="35" t="e">
        <x:f>SUM(E17,J17,O17,T17)</x:f>
        <x:v>#NAME?</x:v>
      </x:c>
      <x:c r="X17" s="35" t="e">
        <x:f>SUM(F17,K17,P17,U17)</x:f>
        <x:v>#NAME?</x:v>
      </x:c>
      <x:c r="Y17" s="35" t="e">
        <x:f>SUM(G17,L17,Q17,V17)</x:f>
        <x:v>#NAME?</x:v>
      </x:c>
      <x:c r="Z17" s="35" t="e">
        <x:f>W17*4+X17*4+Y17*9</x:f>
        <x:v>#NAME?</x:v>
      </x:c>
    </x:row>
    <x:row r="18">
      <x:c r="A18" s="30" t="s">
        <x:v>264</x:v>
      </x:c>
      <x:c r="B18" s="30"/>
      <x:c r="C18" s="30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 t="e">
        <x:f>SUM(W15:W17)</x:f>
        <x:v>#NAME?</x:v>
      </x:c>
      <x:c r="X18" s="37" t="e">
        <x:f>SUM(X15:X17)</x:f>
        <x:v>#NAME?</x:v>
      </x:c>
      <x:c r="Y18" s="37" t="e">
        <x:f>SUM(Y15:Y17)</x:f>
        <x:v>#NAME?</x:v>
      </x:c>
      <x:c r="Z18" s="37" t="e">
        <x:f>SUM(Z15:Z17)</x:f>
        <x:v>#NAME?</x:v>
      </x:c>
    </x:row>
    <x:row r="20">
      <x:c r="A20" s="38" t="s">
        <x:v>265</x:v>
      </x:c>
    </x:row>
    <x:row r="21" ht="27">
      <x:c r="A21" s="28" t="s">
        <x:v>151</x:v>
      </x:c>
      <x:c r="B21" s="28" t="s">
        <x:v>152</x:v>
      </x:c>
      <x:c r="C21" s="28" t="s">
        <x:v>153</x:v>
      </x:c>
      <x:c r="D21" s="28" t="s">
        <x:v>154</x:v>
      </x:c>
    </x:row>
    <x:row r="22">
      <x:c r="A22" s="26" t="s">
        <x:v>47</x:v>
      </x:c>
      <x:c r="B22" s="39" t="e">
        <x:f>$H$4</x:f>
        <x:v>#NAME?</x:v>
      </x:c>
      <x:c r="C22" s="39" t="e">
        <x:f>$W$18</x:f>
        <x:v>#NAME?</x:v>
      </x:c>
      <x:c r="D22" s="40" t="e">
        <x:f>C22-B22</x:f>
        <x:v>#NAME?</x:v>
      </x:c>
    </x:row>
    <x:row r="23">
      <x:c r="A23" s="26" t="s">
        <x:v>48</x:v>
      </x:c>
      <x:c r="B23" s="39" t="e">
        <x:f>$K$4</x:f>
        <x:v>#NAME?</x:v>
      </x:c>
      <x:c r="C23" s="39" t="e">
        <x:f>$X$18</x:f>
        <x:v>#NAME?</x:v>
      </x:c>
      <x:c r="D23" s="40" t="e">
        <x:f>C23-B23</x:f>
        <x:v>#NAME?</x:v>
      </x:c>
    </x:row>
    <x:row r="24">
      <x:c r="A24" s="26" t="s">
        <x:v>49</x:v>
      </x:c>
      <x:c r="B24" s="39" t="e">
        <x:f>$N$4</x:f>
        <x:v>#NAME?</x:v>
      </x:c>
      <x:c r="C24" s="39" t="e">
        <x:f>$Y$18</x:f>
        <x:v>#NAME?</x:v>
      </x:c>
      <x:c r="D24" s="40" t="e">
        <x:f>C24-B24</x:f>
        <x:v>#NAME?</x:v>
      </x:c>
    </x:row>
    <x:row r="25">
      <x:c r="A25" s="26" t="s">
        <x:v>155</x:v>
      </x:c>
      <x:c r="B25" s="39" t="e">
        <x:f>$Q$4</x:f>
        <x:v>#NAME?</x:v>
      </x:c>
      <x:c r="C25" s="39" t="e">
        <x:f>$Z$18</x:f>
        <x:v>#NAME?</x:v>
      </x:c>
      <x:c r="D25" s="40" t="e">
        <x:f>C25-B25</x:f>
        <x:v>#NAME?</x:v>
      </x:c>
    </x:row>
    <x:row r="27" ht="22" customHeight="1">
      <x:c r="A27" s="23" t="s">
        <x:v>266</x:v>
      </x:c>
    </x:row>
    <x:row r="28" ht="27">
      <x:c r="A28" s="28" t="s">
        <x:v>69</x:v>
      </x:c>
      <x:c r="B28" s="28" t="s">
        <x:v>165</x:v>
      </x:c>
      <x:c r="C28" s="28" t="s">
        <x:v>267</x:v>
      </x:c>
      <x:c r="D28" s="28" t="s">
        <x:v>167</x:v>
      </x:c>
      <x:c r="E28" s="28" t="s">
        <x:v>267</x:v>
      </x:c>
      <x:c r="F28" s="28" t="s">
        <x:v>168</x:v>
      </x:c>
      <x:c r="G28" s="28" t="s">
        <x:v>267</x:v>
      </x:c>
      <x:c r="H28" s="28" t="s">
        <x:v>169</x:v>
      </x:c>
      <x:c r="I28" s="28" t="s">
        <x:v>267</x:v>
      </x:c>
      <x:c r="J28" s="28" t="s">
        <x:v>170</x:v>
      </x:c>
      <x:c r="K28" s="28" t="s">
        <x:v>267</x:v>
      </x:c>
      <x:c r="L28" s="28" t="s">
        <x:v>171</x:v>
      </x:c>
      <x:c r="M28" s="28" t="s">
        <x:v>267</x:v>
      </x:c>
      <x:c r="N28" s="28" t="s">
        <x:v>172</x:v>
      </x:c>
      <x:c r="O28" s="28" t="s">
        <x:v>267</x:v>
      </x:c>
      <x:c r="P28" s="28" t="s">
        <x:v>173</x:v>
      </x:c>
      <x:c r="Q28" s="28" t="s">
        <x:v>267</x:v>
      </x:c>
      <x:c r="R28" s="28" t="s">
        <x:v>174</x:v>
      </x:c>
      <x:c r="S28" s="28" t="s">
        <x:v>267</x:v>
      </x:c>
    </x:row>
    <x:row r="29" ht="27">
      <x:c r="A29" s="41" t="s">
        <x:v>74</x:v>
      </x:c>
      <x:c r="B29" s="34" t="s">
        <x:v>133</x:v>
      </x:c>
      <x:c r="C29" s="35" t="e">
        <x:f>IFERROR($H$4*$B$8/VLOOKUP(B29,食物数据库V3!$B$6:$F$36,2,FALSE)*100,0)</x:f>
        <x:v>#NAME?</x:v>
      </x:c>
      <x:c r="D29" s="34" t="s">
        <x:v>137</x:v>
      </x:c>
      <x:c r="E29" s="35" t="e">
        <x:f>IFERROR($H$4*$B$8/VLOOKUP(D29,食物数据库V3!$B$6:$F$36,2,FALSE)*100,0)</x:f>
        <x:v>#NAME?</x:v>
      </x:c>
      <x:c r="F29" s="34" t="s">
        <x:v>141</x:v>
      </x:c>
      <x:c r="G29" s="35" t="e">
        <x:f>IFERROR($H$4*$B$8/VLOOKUP(F29,食物数据库V3!$B$6:$F$36,2,FALSE)*100,0)</x:f>
        <x:v>#NAME?</x:v>
      </x:c>
      <x:c r="H29" s="34" t="s">
        <x:v>128</x:v>
      </x:c>
      <x:c r="I29" s="35" t="e">
        <x:f>IFERROR($K$4*$C$8/VLOOKUP(H29,食物数据库V3!$B$6:$F$36,3,FALSE)*100,0)</x:f>
        <x:v>#NAME?</x:v>
      </x:c>
      <x:c r="J29" s="34" t="s">
        <x:v>134</x:v>
      </x:c>
      <x:c r="K29" s="35" t="e">
        <x:f>IFERROR($K$4*$C$8/VLOOKUP(J29,食物数据库V3!$B$6:$F$36,3,FALSE)*100,0)</x:f>
        <x:v>#NAME?</x:v>
      </x:c>
      <x:c r="L29" s="34" t="s">
        <x:v>138</x:v>
      </x:c>
      <x:c r="M29" s="35" t="e">
        <x:f>IFERROR($K$4*$C$8/VLOOKUP(L29,食物数据库V3!$B$6:$F$36,3,FALSE)*100,0)</x:f>
        <x:v>#NAME?</x:v>
      </x:c>
      <x:c r="N29" s="34" t="s">
        <x:v>139</x:v>
      </x:c>
      <x:c r="O29" s="35" t="e">
        <x:f>IFERROR($N$4*$D$8/VLOOKUP(N29,食物数据库V3!$B$6:$F$36,4,FALSE)*100,0)</x:f>
        <x:v>#NAME?</x:v>
      </x:c>
      <x:c r="P29" s="34" t="s">
        <x:v>142</x:v>
      </x:c>
      <x:c r="Q29" s="35" t="e">
        <x:f>IFERROR($N$4*$D$8/VLOOKUP(P29,食物数据库V3!$B$6:$F$36,4,FALSE)*100,0)</x:f>
        <x:v>#NAME?</x:v>
      </x:c>
      <x:c r="R29" s="34" t="s">
        <x:v>148</x:v>
      </x:c>
      <x:c r="S29" s="6" t="e">
        <x:f>IFERROR($N$4*$D$8/VLOOKUP(R29,食物数据库V3!$B$6:$F$36,4,FALSE)*100,0)</x:f>
        <x:v>#NAME?</x:v>
      </x:c>
    </x:row>
    <x:row r="30" ht="27">
      <x:c r="A30" s="41" t="s">
        <x:v>76</x:v>
      </x:c>
      <x:c r="B30" s="34" t="s">
        <x:v>141</x:v>
      </x:c>
      <x:c r="C30" s="35" t="e">
        <x:f>IFERROR($H$4*$B$9/VLOOKUP(B30,食物数据库V3!$B$6:$F$36,2,FALSE)*100,0)</x:f>
        <x:v>#NAME?</x:v>
      </x:c>
      <x:c r="D30" s="34" t="s">
        <x:v>126</x:v>
      </x:c>
      <x:c r="E30" s="35" t="e">
        <x:f>IFERROR($H$4*$B$9/VLOOKUP(D30,食物数据库V3!$B$6:$F$36,2,FALSE)*100,0)</x:f>
        <x:v>#NAME?</x:v>
      </x:c>
      <x:c r="F30" s="34" t="s">
        <x:v>146</x:v>
      </x:c>
      <x:c r="G30" s="35" t="e">
        <x:f>IFERROR($H$4*$B$9/VLOOKUP(F30,食物数据库V3!$B$6:$F$36,2,FALSE)*100,0)</x:f>
        <x:v>#NAME?</x:v>
      </x:c>
      <x:c r="H30" s="34" t="s">
        <x:v>143</x:v>
      </x:c>
      <x:c r="I30" s="35" t="e">
        <x:f>IFERROR($K$4*$C$9/VLOOKUP(H30,食物数据库V3!$B$6:$F$36,3,FALSE)*100,0)</x:f>
        <x:v>#NAME?</x:v>
      </x:c>
      <x:c r="J30" s="34" t="s">
        <x:v>145</x:v>
      </x:c>
      <x:c r="K30" s="35" t="e">
        <x:f>IFERROR($K$4*$C$9/VLOOKUP(J30,食物数据库V3!$B$6:$F$36,3,FALSE)*100,0)</x:f>
        <x:v>#NAME?</x:v>
      </x:c>
      <x:c r="L30" s="34" t="s">
        <x:v>147</x:v>
      </x:c>
      <x:c r="M30" s="35" t="e">
        <x:f>IFERROR($K$4*$C$9/VLOOKUP(L30,食物数据库V3!$B$6:$F$36,3,FALSE)*100,0)</x:f>
        <x:v>#NAME?</x:v>
      </x:c>
      <x:c r="N30" s="34" t="s">
        <x:v>130</x:v>
      </x:c>
      <x:c r="O30" s="35" t="e">
        <x:f>IFERROR($N$4*$D$9/VLOOKUP(N30,食物数据库V3!$B$6:$F$36,4,FALSE)*100,0)</x:f>
        <x:v>#NAME?</x:v>
      </x:c>
      <x:c r="P30" s="34" t="s">
        <x:v>148</x:v>
      </x:c>
      <x:c r="Q30" s="35" t="e">
        <x:f>IFERROR($N$4*$D$9/VLOOKUP(P30,食物数据库V3!$B$6:$F$36,4,FALSE)*100,0)</x:f>
        <x:v>#NAME?</x:v>
      </x:c>
      <x:c r="R30" s="34" t="s">
        <x:v>139</x:v>
      </x:c>
      <x:c r="S30" s="6" t="e">
        <x:f>IFERROR($N$4*$D$9/VLOOKUP(R30,食物数据库V3!$B$6:$F$36,4,FALSE)*100,0)</x:f>
        <x:v>#NAME?</x:v>
      </x:c>
    </x:row>
    <x:row r="31" ht="27">
      <x:c r="A31" s="41" t="s">
        <x:v>249</x:v>
      </x:c>
      <x:c r="B31" s="34" t="s">
        <x:v>146</x:v>
      </x:c>
      <x:c r="C31" s="35" t="e">
        <x:f>IFERROR($H$4*$B$10/VLOOKUP(B31,食物数据库V3!$B$6:$F$36,2,FALSE)*100,0)</x:f>
        <x:v>#NAME?</x:v>
      </x:c>
      <x:c r="D31" s="34" t="s">
        <x:v>126</x:v>
      </x:c>
      <x:c r="E31" s="35" t="e">
        <x:f>IFERROR($H$4*$B$10/VLOOKUP(D31,食物数据库V3!$B$6:$F$36,2,FALSE)*100,0)</x:f>
        <x:v>#NAME?</x:v>
      </x:c>
      <x:c r="F31" s="34" t="s">
        <x:v>215</x:v>
      </x:c>
      <x:c r="G31" s="35" t="e">
        <x:f>IFERROR($H$4*$B$10/VLOOKUP(F31,食物数据库V3!$B$6:$F$36,2,FALSE)*100,0)</x:f>
        <x:v>#NAME?</x:v>
      </x:c>
      <x:c r="H31" s="34" t="s">
        <x:v>143</x:v>
      </x:c>
      <x:c r="I31" s="35" t="e">
        <x:f>IFERROR($K$4*$C$10/VLOOKUP(H31,食物数据库V3!$B$6:$F$36,3,FALSE)*100,0)</x:f>
        <x:v>#NAME?</x:v>
      </x:c>
      <x:c r="J31" s="34" t="s">
        <x:v>145</x:v>
      </x:c>
      <x:c r="K31" s="35" t="e">
        <x:f>IFERROR($K$4*$C$10/VLOOKUP(J31,食物数据库V3!$B$6:$F$36,3,FALSE)*100,0)</x:f>
        <x:v>#NAME?</x:v>
      </x:c>
      <x:c r="L31" s="34" t="s">
        <x:v>128</x:v>
      </x:c>
      <x:c r="M31" s="35" t="e">
        <x:f>IFERROR($K$4*$C$10/VLOOKUP(L31,食物数据库V3!$B$6:$F$36,3,FALSE)*100,0)</x:f>
        <x:v>#NAME?</x:v>
      </x:c>
      <x:c r="N31" s="34" t="s">
        <x:v>130</x:v>
      </x:c>
      <x:c r="O31" s="35" t="e">
        <x:f>IFERROR($N$4*$D$10/VLOOKUP(N31,食物数据库V3!$B$6:$F$36,4,FALSE)*100,0)</x:f>
        <x:v>#NAME?</x:v>
      </x:c>
      <x:c r="P31" s="34" t="s">
        <x:v>142</x:v>
      </x:c>
      <x:c r="Q31" s="35" t="e">
        <x:f>IFERROR($N$4*$D$10/VLOOKUP(P31,食物数据库V3!$B$6:$F$36,4,FALSE)*100,0)</x:f>
        <x:v>#NAME?</x:v>
      </x:c>
      <x:c r="R31" s="34" t="s">
        <x:v>148</x:v>
      </x:c>
      <x:c r="S31" s="6" t="e">
        <x:f>IFERROR($N$4*$D$10/VLOOKUP(R31,食物数据库V3!$B$6:$F$36,4,FALSE)*100,0)</x:f>
        <x:v>#NAME?</x:v>
      </x:c>
    </x:row>
    <x:row r="33">
      <x:c r="A33" s="8" t="s">
        <x:v>268</x:v>
      </x:c>
      <x:c r="B33" s="42" t="s">
        <x:v>269</x:v>
      </x:c>
    </x:row>
  </x:sheetData>
  <x:mergeCells>
    <x:mergeCell ref="A1:Z1"/>
    <x:mergeCell ref="A3:Z3"/>
    <x:mergeCell ref="A6:Z6"/>
    <x:mergeCell ref="A13:Z13"/>
    <x:mergeCell ref="A20:Z20"/>
    <x:mergeCell ref="A27:Z27"/>
    <x:mergeCell ref="B33:Z33"/>
  </x:mergeCells>
  <x:dataValidations count="5">
    <x:dataValidation type="list" allowBlank="1" showInputMessage="1" showErrorMessage="1" sqref="B4">
      <x:formula1>CycleDays</x:formula1>
    </x:dataValidation>
    <x:dataValidation type="list" sqref="B29:B31 C15:C17 D29:D31 F29:F31">
      <x:formula1>CarbFoods</x:formula1>
    </x:dataValidation>
    <x:dataValidation type="list" sqref="H15:H17 H29:H31 J29:J31 L29:L31">
      <x:formula1>ProteinFoods</x:formula1>
    </x:dataValidation>
    <x:dataValidation type="list" sqref="M15:M17 N29:N31 P29:P31 R29:R31">
      <x:formula1>FatFoods</x:formula1>
    </x:dataValidation>
    <x:dataValidation type="list" sqref="R15:R17">
      <x:formula1>VegFoods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" defaultRowHeight="13.5"/>
  <x:cols>
    <x:col min="1" max="1" width="20" customWidth="1"/>
    <x:col min="2" max="2" width="90" customWidth="1"/>
  </x:cols>
  <x:sheetData>
    <x:row r="1" ht="32" customHeight="1">
      <x:c r="A1" s="1" t="s">
        <x:v>270</x:v>
      </x:c>
    </x:row>
    <x:row r="4" ht="44" customHeight="1">
      <x:c r="A4" s="18" t="s">
        <x:v>271</x:v>
      </x:c>
      <x:c r="B4" s="19" t="s">
        <x:v>272</x:v>
      </x:c>
      <x:c r="C4" s="11"/>
      <x:c r="D4" s="11"/>
      <x:c r="E4" s="11"/>
      <x:c r="F4" s="11"/>
      <x:c r="G4" s="11"/>
      <x:c r="H4" s="12"/>
    </x:row>
    <x:row r="5" ht="44" customHeight="1">
      <x:c r="A5" s="18" t="s">
        <x:v>273</x:v>
      </x:c>
      <x:c r="B5" s="19" t="s">
        <x:v>274</x:v>
      </x:c>
      <x:c r="C5" s="11"/>
      <x:c r="D5" s="11"/>
      <x:c r="E5" s="11"/>
      <x:c r="F5" s="11"/>
      <x:c r="G5" s="11"/>
      <x:c r="H5" s="12"/>
    </x:row>
    <x:row r="6" ht="35" customHeight="1">
      <x:c r="A6" s="18" t="s">
        <x:v>275</x:v>
      </x:c>
      <x:c r="B6" s="19" t="s">
        <x:v>276</x:v>
      </x:c>
      <x:c r="C6" s="11"/>
      <x:c r="D6" s="11"/>
      <x:c r="E6" s="11"/>
      <x:c r="F6" s="11"/>
      <x:c r="G6" s="11"/>
      <x:c r="H6" s="12"/>
    </x:row>
    <x:row r="7" ht="35" customHeight="1">
      <x:c r="A7" s="18" t="s">
        <x:v>277</x:v>
      </x:c>
      <x:c r="B7" s="19" t="s">
        <x:v>278</x:v>
      </x:c>
      <x:c r="C7" s="11"/>
      <x:c r="D7" s="11"/>
      <x:c r="E7" s="11"/>
      <x:c r="F7" s="11"/>
      <x:c r="G7" s="11"/>
      <x:c r="H7" s="12"/>
    </x:row>
    <x:row r="8" ht="35" customHeight="1">
      <x:c r="A8" s="18" t="s">
        <x:v>279</x:v>
      </x:c>
      <x:c r="B8" s="19" t="s">
        <x:v>280</x:v>
      </x:c>
      <x:c r="C8" s="11"/>
      <x:c r="D8" s="11"/>
      <x:c r="E8" s="11"/>
      <x:c r="F8" s="11"/>
      <x:c r="G8" s="11"/>
      <x:c r="H8" s="12"/>
    </x:row>
    <x:row r="9" ht="44" customHeight="1">
      <x:c r="A9" s="18" t="s">
        <x:v>281</x:v>
      </x:c>
      <x:c r="B9" s="19" t="s">
        <x:v>282</x:v>
      </x:c>
      <x:c r="C9" s="11"/>
      <x:c r="D9" s="11"/>
      <x:c r="E9" s="11"/>
      <x:c r="F9" s="11"/>
      <x:c r="G9" s="11"/>
      <x:c r="H9" s="12"/>
    </x:row>
    <x:row r="10" ht="35" customHeight="1">
      <x:c r="A10" s="18" t="s">
        <x:v>283</x:v>
      </x:c>
      <x:c r="B10" s="19" t="s">
        <x:v>284</x:v>
      </x:c>
      <x:c r="C10" s="11"/>
      <x:c r="D10" s="11"/>
      <x:c r="E10" s="11"/>
      <x:c r="F10" s="11"/>
      <x:c r="G10" s="11"/>
      <x:c r="H10" s="12"/>
    </x:row>
    <x:row r="11">
      <x:c r="B11" s="20"/>
    </x:row>
    <x:row r="12" ht="44" customHeight="1">
      <x:c r="A12" s="8" t="s">
        <x:v>285</x:v>
      </x:c>
      <x:c r="B12" s="20" t="s">
        <x:v>286</x:v>
      </x:c>
    </x:row>
    <x:row r="13">
      <x:c r="A13" s="8" t="s">
        <x:v>287</x:v>
      </x:c>
      <x:c r="B13" s="20" t="s">
        <x:v>288</x:v>
      </x:c>
    </x:row>
    <x:row r="14" ht="27">
      <x:c r="A14" s="8" t="s">
        <x:v>289</x:v>
      </x:c>
      <x:c r="B14" s="20" t="s">
        <x:v>290</x:v>
      </x:c>
    </x:row>
    <x:row r="15">
      <x:c r="B15" s="20"/>
    </x:row>
    <x:row r="16" ht="44" customHeight="1">
      <x:c r="A16" s="8" t="s">
        <x:v>291</x:v>
      </x:c>
      <x:c r="B16" s="20" t="s">
        <x:v>292</x:v>
      </x:c>
    </x:row>
    <x:row r="17">
      <x:c r="A17" s="8" t="s">
        <x:v>293</x:v>
      </x:c>
      <x:c r="B17" s="20" t="s">
        <x:v>294</x:v>
      </x:c>
    </x:row>
    <x:row r="18">
      <x:c r="B18" s="20"/>
    </x:row>
    <x:row r="19" ht="42" customHeight="1">
      <x:c r="A19" s="21" t="s">
        <x:v>295</x:v>
      </x:c>
      <x:c r="B19" s="20" t="s">
        <x:v>296</x:v>
      </x:c>
    </x:row>
    <x:row r="20" ht="42" customHeight="1">
      <x:c r="A20" s="21" t="s">
        <x:v>297</x:v>
      </x:c>
      <x:c r="B20" s="20" t="s">
        <x:v>298</x:v>
      </x:c>
    </x:row>
    <x:row r="21" ht="42" customHeight="1">
      <x:c r="A21" s="21" t="s">
        <x:v>299</x:v>
      </x:c>
      <x:c r="B21" s="20" t="s">
        <x:v>300</x:v>
      </x:c>
    </x:row>
    <x:row r="22" ht="44" customHeight="1">
      <x:c r="A22" s="21" t="s">
        <x:v>301</x:v>
      </x:c>
      <x:c r="B22" s="20" t="s">
        <x:v>302</x:v>
      </x:c>
    </x:row>
    <x:row r="23" ht="44" customHeight="1">
      <x:c r="A23" s="21" t="s">
        <x:v>303</x:v>
      </x:c>
      <x:c r="B23" s="20" t="s">
        <x:v>304</x:v>
      </x:c>
    </x:row>
    <x:row r="24" ht="44" customHeight="1">
      <x:c r="A24" s="21" t="s">
        <x:v>305</x:v>
      </x:c>
      <x:c r="B24" s="20" t="s">
        <x:v>306</x:v>
      </x:c>
    </x:row>
  </x:sheetData>
  <x:mergeCells>
    <x:mergeCell ref="A1:H1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" defaultRowHeight="13.5"/>
  <x:cols>
    <x:col min="6" max="6" width="10.637167930603027" customWidth="1"/>
    <x:col min="7" max="7" width="15.637167930603027" customWidth="1"/>
    <x:col min="8" max="8" width="12.637167930603027" customWidth="1"/>
    <x:col min="9" max="9" width="14.637167930603027" customWidth="1"/>
  </x:cols>
  <x:sheetData>
    <x:row r="1" ht="14.649999618530273">
      <x:c r="A1" t="s">
        <x:v>307</x:v>
      </x:c>
      <x:c r="B1" t="s">
        <x:v>207</x:v>
      </x:c>
      <x:c r="C1" t="s">
        <x:v>219</x:v>
      </x:c>
      <x:c r="D1" t="s">
        <x:v>228</x:v>
      </x:c>
      <x:c r="E1" t="s">
        <x:v>233</x:v>
      </x:c>
      <x:c r="F1" s="16" t="s">
        <x:v>41</x:v>
      </x:c>
      <x:c r="G1" s="16" t="s">
        <x:v>43</x:v>
      </x:c>
      <x:c r="H1" s="16" t="s">
        <x:v>44</x:v>
      </x:c>
      <x:c r="I1" s="16" t="s">
        <x:v>45</x:v>
      </x:c>
    </x:row>
    <x:row r="2" ht="13.850000381469727">
      <x:c r="A2" t="s">
        <x:v>308</x:v>
      </x:c>
      <x:c r="B2" t="str" cm="1">
        <x:f t="array" ref="B2:B9">_xlfn._xlws.FILTER('食物数据库V3'!$B$6:$B$59,'食物数据库V3'!$A$6:$A$59=B$1,"")</x:f>
        <x:v>熟米饭</x:v>
      </x:c>
      <x:c r="C2" t="str" cm="1">
        <x:f t="array" ref="C2:C9">_xlfn._xlws.FILTER('食物数据库V3'!$B$6:$B$59,'食物数据库V3'!$A$6:$A$59=C$1,"")</x:f>
        <x:v>鸡胸肉（生）</x:v>
      </x:c>
      <x:c r="D2" t="str" cm="1">
        <x:f t="array" ref="D2:D6">_xlfn._xlws.FILTER('食物数据库V3'!$B$6:$B$59,'食物数据库V3'!$A$6:$A$59=D$1,"")</x:f>
        <x:v>橄榄油</x:v>
      </x:c>
      <x:c r="E2" t="str" cm="1">
        <x:f t="array" ref="E2:E7">_xlfn._xlws.FILTER('食物数据库V3'!$B$6:$B$59,'食物数据库V3'!$A$6:$A$59=E$1,"")</x:f>
        <x:v>西兰花</x:v>
      </x:c>
      <x:c r="F2" s="17">
        <x:v>1</x:v>
      </x:c>
      <x:c r="G2" s="17" t="s">
        <x:v>25</x:v>
      </x:c>
      <x:c r="H2" s="17" t="s">
        <x:v>52</x:v>
      </x:c>
      <x:c r="I2" s="17" t="s">
        <x:v>55</x:v>
      </x:c>
    </x:row>
    <x:row r="3" ht="13.850000381469727">
      <x:c r="A3" t="s">
        <x:v>309</x:v>
      </x:c>
      <x:c r="B3" t="str">
        <x:v>土豆（熟）</x:v>
      </x:c>
      <x:c r="C3" t="str">
        <x:v>鸡胸肉（熟）</x:v>
      </x:c>
      <x:c r="D3" t="str">
        <x:v>牛油果</x:v>
      </x:c>
      <x:c r="E3" t="str">
        <x:v>生菜</x:v>
      </x:c>
      <x:c r="F3" s="17">
        <x:v>2</x:v>
      </x:c>
      <x:c r="G3" s="17" t="s">
        <x:v>28</x:v>
      </x:c>
      <x:c r="H3" s="17" t="s">
        <x:v>54</x:v>
      </x:c>
      <x:c r="I3" s="17" t="s">
        <x:v>310</x:v>
      </x:c>
    </x:row>
    <x:row r="4" ht="13.850000381469727">
      <x:c r="A4" t="s">
        <x:v>311</x:v>
      </x:c>
      <x:c r="B4" t="str">
        <x:v>红薯（熟）</x:v>
      </x:c>
      <x:c r="C4" t="str">
        <x:v>鸡蛋</x:v>
      </x:c>
      <x:c r="D4" t="str">
        <x:v>杏仁</x:v>
      </x:c>
      <x:c r="E4" t="str">
        <x:v>菠菜</x:v>
      </x:c>
      <x:c r="F4" s="17">
        <x:v>3</x:v>
      </x:c>
      <x:c r="G4" s="17" t="s">
        <x:v>31</x:v>
      </x:c>
      <x:c r="H4" s="17"/>
      <x:c r="I4" s="17" t="s">
        <x:v>312</x:v>
      </x:c>
    </x:row>
    <x:row r="5" ht="13.850000381469727">
      <x:c r="A5" t="s">
        <x:v>313</x:v>
      </x:c>
      <x:c r="B5" t="str">
        <x:v>燕麦（干）</x:v>
      </x:c>
      <x:c r="C5" t="str">
        <x:v>脱脂牛奶</x:v>
      </x:c>
      <x:c r="D5" t="str">
        <x:v>花生酱</x:v>
      </x:c>
      <x:c r="E5" t="str">
        <x:v>番茄</x:v>
      </x:c>
      <x:c r="F5" s="17">
        <x:v>4</x:v>
      </x:c>
      <x:c r="G5" s="17"/>
      <x:c r="H5" s="17"/>
      <x:c r="I5" s="17" t="s">
        <x:v>53</x:v>
      </x:c>
    </x:row>
    <x:row r="6" ht="13.850000381469727">
      <x:c r="A6" t="s">
        <x:v>314</x:v>
      </x:c>
      <x:c r="B6" t="str">
        <x:v>全麦面包</x:v>
      </x:c>
      <x:c r="C6" t="str">
        <x:v>希腊酸奶（低脂）</x:v>
      </x:c>
      <x:c r="D6" t="str">
        <x:v>腰果</x:v>
      </x:c>
      <x:c r="E6" t="str">
        <x:v>黄瓜</x:v>
      </x:c>
      <x:c r="F6" s="17">
        <x:v>5</x:v>
      </x:c>
      <x:c r="G6" s="17"/>
      <x:c r="H6" s="17"/>
      <x:c r="I6" s="17" t="s">
        <x:v>315</x:v>
      </x:c>
    </x:row>
    <x:row r="7" ht="13.850000381469727">
      <x:c r="A7" t="s">
        <x:v>316</x:v>
      </x:c>
      <x:c r="B7" t="str">
        <x:v>玉米（熟）</x:v>
      </x:c>
      <x:c r="C7" t="str">
        <x:v>金枪鱼（水浸）</x:v>
      </x:c>
      <x:c r="E7" t="str">
        <x:v>胡萝卜</x:v>
      </x:c>
      <x:c r="F7" s="17">
        <x:v>6</x:v>
      </x:c>
      <x:c r="G7" s="17"/>
      <x:c r="H7" s="17"/>
      <x:c r="I7" s="17"/>
    </x:row>
    <x:row r="8" ht="13.850000381469727">
      <x:c r="A8" t="s">
        <x:v>317</x:v>
      </x:c>
      <x:c r="B8" t="str">
        <x:v>意面（熟）</x:v>
      </x:c>
      <x:c r="C8" t="str">
        <x:v>虾仁</x:v>
      </x:c>
      <x:c r="F8" s="17">
        <x:v>7</x:v>
      </x:c>
      <x:c r="G8" s="17"/>
      <x:c r="H8" s="17"/>
      <x:c r="I8" s="17"/>
    </x:row>
    <x:row r="9" ht="13.850000381469727">
      <x:c r="B9" t="str">
        <x:v>荞麦面（熟）</x:v>
      </x:c>
      <x:c r="C9" t="str">
        <x:v>全脂牛奶</x:v>
      </x:c>
      <x:c r="F9" s="17">
        <x:v>8</x:v>
      </x:c>
      <x:c r="G9" s="17"/>
      <x:c r="H9" s="17"/>
      <x:c r="I9" s="17"/>
    </x:row>
    <x:row r="10" ht="13.850000381469727">
      <x:c r="F10" s="17">
        <x:v>9</x:v>
      </x:c>
      <x:c r="G10" s="17"/>
      <x:c r="H10" s="17"/>
      <x:c r="I10" s="17"/>
    </x:row>
    <x:row r="11" ht="13.850000381469727">
      <x:c r="F11" s="17">
        <x:v>10</x:v>
      </x:c>
      <x:c r="G11" s="17"/>
      <x:c r="H11" s="17"/>
      <x:c r="I11" s="17"/>
    </x:row>
    <x:row r="12" ht="13.850000381469727">
      <x:c r="F12" s="17">
        <x:v>11</x:v>
      </x:c>
      <x:c r="G12" s="17"/>
      <x:c r="H12" s="17"/>
      <x:c r="I12" s="17"/>
    </x:row>
    <x:row r="13" ht="13.850000381469727">
      <x:c r="F13" s="17">
        <x:v>12</x:v>
      </x:c>
      <x:c r="G13" s="17"/>
      <x:c r="H13" s="17"/>
      <x:c r="I13" s="17"/>
    </x:row>
    <x:row r="14" ht="13.850000381469727">
      <x:c r="F14" s="17">
        <x:v>13</x:v>
      </x:c>
      <x:c r="G14" s="17"/>
      <x:c r="H14" s="17"/>
      <x:c r="I14" s="17"/>
    </x:row>
    <x:row r="15" ht="13.850000381469727">
      <x:c r="F15" s="17">
        <x:v>14</x:v>
      </x:c>
      <x:c r="G15" s="17"/>
      <x:c r="H15" s="17"/>
      <x:c r="I15" s="17"/>
    </x:row>
    <x:row r="16" ht="13.850000381469727">
      <x:c r="F16" s="17">
        <x:v>15</x:v>
      </x:c>
      <x:c r="G16" s="17"/>
      <x:c r="H16" s="17"/>
      <x:c r="I16" s="17"/>
    </x:row>
    <x:row r="17" ht="13.850000381469727">
      <x:c r="F17" s="17">
        <x:v>16</x:v>
      </x:c>
      <x:c r="G17" s="17"/>
      <x:c r="H17" s="17"/>
      <x:c r="I17" s="17"/>
    </x:row>
    <x:row r="18" ht="13.850000381469727">
      <x:c r="F18" s="17">
        <x:v>17</x:v>
      </x:c>
      <x:c r="G18" s="17"/>
      <x:c r="H18" s="17"/>
      <x:c r="I18" s="17"/>
    </x:row>
    <x:row r="19" ht="13.850000381469727">
      <x:c r="F19" s="17">
        <x:v>18</x:v>
      </x:c>
      <x:c r="G19" s="17"/>
      <x:c r="H19" s="17"/>
      <x:c r="I19" s="17"/>
    </x:row>
    <x:row r="20" ht="13.850000381469727">
      <x:c r="F20" s="17">
        <x:v>19</x:v>
      </x:c>
      <x:c r="G20" s="17"/>
      <x:c r="H20" s="17"/>
      <x:c r="I20" s="17"/>
    </x:row>
    <x:row r="21" ht="13.850000381469727">
      <x:c r="F21" s="17">
        <x:v>20</x:v>
      </x:c>
      <x:c r="G21" s="17"/>
      <x:c r="H21" s="17"/>
      <x:c r="I21" s="17"/>
    </x:row>
    <x:row r="22" ht="13.850000381469727">
      <x:c r="F22" s="17">
        <x:v>21</x:v>
      </x:c>
      <x:c r="G22" s="17"/>
      <x:c r="H22" s="17"/>
      <x:c r="I22" s="17"/>
    </x:row>
    <x:row r="23" ht="13.850000381469727">
      <x:c r="F23" s="17">
        <x:v>22</x:v>
      </x:c>
      <x:c r="G23" s="17"/>
      <x:c r="H23" s="17"/>
      <x:c r="I23" s="17"/>
    </x:row>
    <x:row r="24" ht="13.850000381469727">
      <x:c r="F24" s="17">
        <x:v>23</x:v>
      </x:c>
      <x:c r="G24" s="17"/>
      <x:c r="H24" s="17"/>
      <x:c r="I24" s="17"/>
    </x:row>
    <x:row r="25" ht="13.850000381469727">
      <x:c r="F25" s="17">
        <x:v>24</x:v>
      </x:c>
      <x:c r="G25" s="17"/>
      <x:c r="H25" s="17"/>
      <x:c r="I25" s="17"/>
    </x:row>
    <x:row r="26" ht="13.850000381469727">
      <x:c r="F26" s="17">
        <x:v>25</x:v>
      </x:c>
      <x:c r="G26" s="17"/>
      <x:c r="H26" s="17"/>
      <x:c r="I26" s="17"/>
    </x:row>
    <x:row r="27" ht="13.850000381469727">
      <x:c r="F27" s="17">
        <x:v>26</x:v>
      </x:c>
      <x:c r="G27" s="17"/>
      <x:c r="H27" s="17"/>
      <x:c r="I27" s="17"/>
    </x:row>
    <x:row r="28" ht="13.850000381469727">
      <x:c r="F28" s="17">
        <x:v>27</x:v>
      </x:c>
      <x:c r="G28" s="17"/>
      <x:c r="H28" s="17"/>
      <x:c r="I28" s="17"/>
    </x:row>
    <x:row r="29" ht="13.850000381469727">
      <x:c r="F29" s="17">
        <x:v>28</x:v>
      </x:c>
      <x:c r="G29" s="17"/>
      <x:c r="H29" s="17"/>
      <x:c r="I29" s="17"/>
    </x:row>
    <x:row r="30" ht="13.850000381469727">
      <x:c r="F30" s="17">
        <x:v>29</x:v>
      </x:c>
      <x:c r="G30" s="17"/>
      <x:c r="H30" s="17"/>
      <x:c r="I30" s="17"/>
    </x:row>
    <x:row r="31" ht="13.850000381469727">
      <x:c r="F31" s="17">
        <x:v>30</x:v>
      </x:c>
      <x:c r="G31" s="17"/>
      <x:c r="H31" s="17"/>
      <x:c r="I31" s="17"/>
    </x:row>
    <x:row r="32" ht="13.850000381469727">
      <x:c r="F32" s="17">
        <x:v>31</x:v>
      </x:c>
      <x:c r="G32" s="17"/>
      <x:c r="H32" s="17"/>
      <x:c r="I32" s="1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9" defaultRowHeight="13.5"/>
  <x:cols>
    <x:col min="1" max="1" width="23.637168884277344" customWidth="1"/>
    <x:col min="2" max="2" width="18" customWidth="1"/>
    <x:col min="3" max="3" width="42" customWidth="1"/>
    <x:col min="4" max="8" width="18" customWidth="1"/>
  </x:cols>
  <x:sheetData>
    <x:row r="1" ht="32" customHeight="1">
      <x:c r="A1" s="1" t="s">
        <x:v>318</x:v>
      </x:c>
    </x:row>
    <x:row r="3" ht="15.75">
      <x:c r="A3" s="4" t="s">
        <x:v>319</x:v>
      </x:c>
    </x:row>
    <x:row r="4">
      <x:c r="A4" s="9" t="s">
        <x:v>320</x:v>
      </x:c>
      <x:c r="B4" s="10" t="s">
        <x:v>321</x:v>
      </x:c>
      <x:c r="C4" s="9" t="s">
        <x:v>322</x:v>
      </x:c>
      <x:c r="D4" s="11"/>
      <x:c r="E4" s="11"/>
      <x:c r="F4" s="12"/>
    </x:row>
    <x:row r="5">
      <x:c r="A5" s="9" t="s">
        <x:v>323</x:v>
      </x:c>
      <x:c r="B5" s="10">
        <x:v>37</x:v>
      </x:c>
      <x:c r="C5" s="9" t="s">
        <x:v>324</x:v>
      </x:c>
      <x:c r="D5" s="11"/>
      <x:c r="E5" s="11"/>
      <x:c r="F5" s="12"/>
    </x:row>
    <x:row r="6">
      <x:c r="A6" s="9" t="s">
        <x:v>325</x:v>
      </x:c>
      <x:c r="B6" s="10">
        <x:v>178</x:v>
      </x:c>
      <x:c r="C6" s="9" t="s">
        <x:v>326</x:v>
      </x:c>
      <x:c r="D6" s="11"/>
      <x:c r="E6" s="11"/>
      <x:c r="F6" s="12"/>
    </x:row>
    <x:row r="7">
      <x:c r="A7" s="9" t="s">
        <x:v>327</x:v>
      </x:c>
      <x:c r="B7" s="13" t="e">
        <x:f>V6周期计划!B4</x:f>
        <x:v>#NAME?</x:v>
      </x:c>
      <x:c r="C7" s="9" t="s">
        <x:v>328</x:v>
      </x:c>
      <x:c r="D7" s="11"/>
      <x:c r="E7" s="11"/>
      <x:c r="F7" s="12"/>
    </x:row>
    <x:row r="8">
      <x:c r="A8" s="9" t="s">
        <x:v>329</x:v>
      </x:c>
      <x:c r="B8" s="10">
        <x:v>1.375</x:v>
      </x:c>
      <x:c r="C8" s="9" t="s">
        <x:v>330</x:v>
      </x:c>
      <x:c r="D8" s="11"/>
      <x:c r="E8" s="11"/>
      <x:c r="F8" s="12"/>
    </x:row>
    <x:row r="9">
      <x:c r="A9" s="9" t="s">
        <x:v>331</x:v>
      </x:c>
      <x:c r="B9" s="10">
        <x:v>500</x:v>
      </x:c>
      <x:c r="C9" s="9" t="s">
        <x:v>332</x:v>
      </x:c>
      <x:c r="D9" s="11"/>
      <x:c r="E9" s="11"/>
      <x:c r="F9" s="12"/>
    </x:row>
    <x:row r="11" ht="15.75">
      <x:c r="A11" s="4" t="s">
        <x:v>333</x:v>
      </x:c>
    </x:row>
    <x:row r="12">
      <x:c r="A12" s="9" t="s">
        <x:v>334</x:v>
      </x:c>
      <x:c r="B12" s="14" t="e">
        <x:f>IF(B4="男",10*B7+6.25*B6-5*B5+5,10*B7+6.25*B6-5*B5-161)</x:f>
        <x:v>#NAME?</x:v>
      </x:c>
    </x:row>
    <x:row r="13">
      <x:c r="A13" s="9" t="s">
        <x:v>335</x:v>
      </x:c>
      <x:c r="B13" s="14" t="e">
        <x:f>B12*B8</x:f>
        <x:v>#NAME?</x:v>
      </x:c>
    </x:row>
    <x:row r="14">
      <x:c r="A14" s="9" t="s">
        <x:v>336</x:v>
      </x:c>
      <x:c r="B14" s="14" t="e">
        <x:f>MAX(B12,B13-B9)</x:f>
        <x:v>#NAME?</x:v>
      </x:c>
    </x:row>
    <x:row r="15">
      <x:c r="A15" s="9" t="s">
        <x:v>337</x:v>
      </x:c>
      <x:c r="B15" s="14" t="e">
        <x:f>V6周期计划!B8</x:f>
        <x:v>#NAME?</x:v>
      </x:c>
    </x:row>
    <x:row r="16">
      <x:c r="A16" s="9" t="s">
        <x:v>338</x:v>
      </x:c>
      <x:c r="B16" s="14" t="e">
        <x:f>B15-B14</x:f>
        <x:v>#NAME?</x:v>
      </x:c>
    </x:row>
    <x:row r="19">
      <x:c r="A19" s="15" t="s">
        <x:v>339</x:v>
      </x:c>
    </x:row>
  </x:sheetData>
  <x:mergeCells>
    <x:mergeCell ref="A1:H1"/>
    <x:mergeCell ref="A3:H3"/>
    <x:mergeCell ref="C4:F4"/>
    <x:mergeCell ref="C5:F5"/>
    <x:mergeCell ref="C6:F6"/>
    <x:mergeCell ref="C7:F7"/>
    <x:mergeCell ref="C8:F8"/>
    <x:mergeCell ref="C9:F9"/>
    <x:mergeCell ref="A11:H11"/>
    <x:mergeCell ref="A19:H21"/>
  </x:mergeCells>
  <x:dataValidations count="1">
    <x:dataValidation type="list" sqref="B4">
      <x:formula1>"男,女"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9" defaultRowHeight="13.5"/>
  <x:cols>
    <x:col min="1" max="1" width="28" customWidth="1"/>
    <x:col min="2" max="8" width="18" customWidth="1"/>
    <x:col min="9" max="9" width="22" customWidth="1"/>
    <x:col min="10" max="12" width="18" customWidth="1"/>
  </x:cols>
  <x:sheetData>
    <x:row r="1" ht="32" customHeight="1">
      <x:c r="A1" s="1" t="s">
        <x:v>340</x:v>
      </x:c>
    </x:row>
    <x:row r="3" ht="15.75">
      <x:c r="A3" s="4" t="s">
        <x:v>341</x:v>
      </x:c>
    </x:row>
    <x:row r="4">
      <x:c r="A4" t="s">
        <x:v>96</x:v>
      </x:c>
      <x:c r="B4" s="5">
        <x:v>1</x:v>
      </x:c>
      <x:c r="D4" t="s">
        <x:v>97</x:v>
      </x:c>
      <x:c r="E4" s="6" t="e">
        <x:f>IF(B4&gt;CycleLength,"",IFERROR(VLOOKUP(B4,V6周期计划!$A$20:$J$50,7,FALSE),""))</x:f>
        <x:v>#NAME?</x:v>
      </x:c>
      <x:c r="G4" t="s">
        <x:v>98</x:v>
      </x:c>
      <x:c r="H4" s="6" t="e">
        <x:f>IF(B4&gt;CycleLength,"",IFERROR(VLOOKUP(B4,V6周期计划!$A$20:$J$50,8,FALSE),""))</x:f>
        <x:v>#NAME?</x:v>
      </x:c>
      <x:c r="J4" t="s">
        <x:v>99</x:v>
      </x:c>
      <x:c r="K4" s="6" t="e">
        <x:f>IF(B4&gt;CycleLength,"",IFERROR(VLOOKUP(B4,V6周期计划!$A$20:$J$50,9,FALSE),""))</x:f>
        <x:v>#NAME?</x:v>
      </x:c>
    </x:row>
    <x:row r="6" ht="15.75">
      <x:c r="A6" s="4" t="s">
        <x:v>342</x:v>
      </x:c>
    </x:row>
    <x:row r="7">
      <x:c r="A7" s="2" t="s">
        <x:v>343</x:v>
      </x:c>
      <x:c r="B7" s="2" t="s">
        <x:v>47</x:v>
      </x:c>
      <x:c r="C7" s="2" t="s">
        <x:v>48</x:v>
      </x:c>
      <x:c r="D7" s="2" t="s">
        <x:v>49</x:v>
      </x:c>
      <x:c r="E7" s="2" t="s">
        <x:v>155</x:v>
      </x:c>
      <x:c r="F7" s="2" t="s">
        <x:v>344</x:v>
      </x:c>
      <x:c r="G7" s="2" t="s">
        <x:v>345</x:v>
      </x:c>
      <x:c r="H7" s="2" t="s">
        <x:v>346</x:v>
      </x:c>
      <x:c r="I7" s="2" t="s">
        <x:v>73</x:v>
      </x:c>
    </x:row>
    <x:row r="8">
      <x:c r="A8" s="3" t="s">
        <x:v>141</x:v>
      </x:c>
      <x:c r="B8" s="7" t="e">
        <x:f>IFERROR(VLOOKUP($A8,食物数据库V3!$B$6:$F$37,2,FALSE),"")</x:f>
        <x:v>#NAME?</x:v>
      </x:c>
      <x:c r="C8" s="7" t="e">
        <x:f>IFERROR(VLOOKUP($A8,食物数据库V3!$B$6:$F$37,3,FALSE),"")</x:f>
        <x:v>#NAME?</x:v>
      </x:c>
      <x:c r="D8" s="7" t="e">
        <x:f>IFERROR(VLOOKUP($A8,食物数据库V3!$B$6:$F$37,4,FALSE),"")</x:f>
        <x:v>#NAME?</x:v>
      </x:c>
      <x:c r="E8" s="7" t="e">
        <x:f>IFERROR(VLOOKUP($A8,食物数据库V3!$B$6:$F$37,5,FALSE),"")</x:f>
        <x:v>#NAME?</x:v>
      </x:c>
      <x:c r="F8" s="7" t="e">
        <x:f t="shared" ref="F8:F13" si="0">IF(B8=0,"-",100*$E$4/B8)</x:f>
        <x:v>#NAME?</x:v>
      </x:c>
      <x:c r="G8" s="7" t="e">
        <x:f t="shared" ref="G8:G13" si="1">IF(C8=0,"-",100*$H$4/C8)</x:f>
        <x:v>#NAME?</x:v>
      </x:c>
      <x:c r="H8" s="7" t="e">
        <x:f t="shared" ref="H8:H13" si="2">IF(D8=0,"-",100*$K$4/D8)</x:f>
        <x:v>#NAME?</x:v>
      </x:c>
      <x:c r="I8" s="3" t="s">
        <x:v>347</x:v>
      </x:c>
    </x:row>
    <x:row r="9">
      <x:c r="A9" s="3" t="s">
        <x:v>133</x:v>
      </x:c>
      <x:c r="B9" s="7" t="e">
        <x:f>IFERROR(VLOOKUP($A9,食物数据库V3!$B$6:$F$37,2,FALSE),"")</x:f>
        <x:v>#NAME?</x:v>
      </x:c>
      <x:c r="C9" s="7" t="e">
        <x:f>IFERROR(VLOOKUP($A9,食物数据库V3!$B$6:$F$37,3,FALSE),"")</x:f>
        <x:v>#NAME?</x:v>
      </x:c>
      <x:c r="D9" s="7" t="e">
        <x:f>IFERROR(VLOOKUP($A9,食物数据库V3!$B$6:$F$37,4,FALSE),"")</x:f>
        <x:v>#NAME?</x:v>
      </x:c>
      <x:c r="E9" s="7" t="e">
        <x:f>IFERROR(VLOOKUP($A9,食物数据库V3!$B$6:$F$37,5,FALSE),"")</x:f>
        <x:v>#NAME?</x:v>
      </x:c>
      <x:c r="F9" s="7">
        <x:f t="shared" si="0"/>
        <x:v>227.518959913326</x:v>
      </x:c>
      <x:c r="G9" s="7">
        <x:f t="shared" si="1"/>
        <x:v>704.14201183432</x:v>
      </x:c>
      <x:c r="H9" s="7">
        <x:f t="shared" si="2"/>
        <x:v>1108.88843528158</x:v>
      </x:c>
      <x:c r="I9" s="3" t="s">
        <x:v>348</x:v>
      </x:c>
    </x:row>
    <x:row r="10">
      <x:c r="A10" s="3" t="s">
        <x:v>143</x:v>
      </x:c>
      <x:c r="B10" s="7" t="e">
        <x:f>IFERROR(VLOOKUP($A10,食物数据库V3!$B$6:$F$37,2,FALSE),"")</x:f>
        <x:v>#NAME?</x:v>
      </x:c>
      <x:c r="C10" s="7" t="e">
        <x:f>IFERROR(VLOOKUP($A10,食物数据库V3!$B$6:$F$37,3,FALSE),"")</x:f>
        <x:v>#NAME?</x:v>
      </x:c>
      <x:c r="D10" s="7" t="e">
        <x:f>IFERROR(VLOOKUP($A10,食物数据库V3!$B$6:$F$37,4,FALSE),"")</x:f>
        <x:v>#NAME?</x:v>
      </x:c>
      <x:c r="E10" s="7" t="e">
        <x:f>IFERROR(VLOOKUP($A10,食物数据库V3!$B$6:$F$37,5,FALSE),"")</x:f>
        <x:v>#NAME?</x:v>
      </x:c>
      <x:c r="F10" s="7" t="str">
        <x:f t="shared" si="0"/>
        <x:v>-</x:v>
      </x:c>
      <x:c r="G10" s="7">
        <x:f t="shared" si="1"/>
        <x:v>540.909090909091</x:v>
      </x:c>
      <x:c r="H10" s="7">
        <x:f t="shared" si="2"/>
        <x:v>5100.88680229525</x:v>
      </x:c>
      <x:c r="I10" s="3" t="s">
        <x:v>349</x:v>
      </x:c>
    </x:row>
    <x:row r="11">
      <x:c r="A11" s="3" t="s">
        <x:v>128</x:v>
      </x:c>
      <x:c r="B11" s="7" t="e">
        <x:f>IFERROR(VLOOKUP($A11,食物数据库V3!$B$6:$F$37,2,FALSE),"")</x:f>
        <x:v>#NAME?</x:v>
      </x:c>
      <x:c r="C11" s="7" t="e">
        <x:f>IFERROR(VLOOKUP($A11,食物数据库V3!$B$6:$F$37,3,FALSE),"")</x:f>
        <x:v>#NAME?</x:v>
      </x:c>
      <x:c r="D11" s="7" t="e">
        <x:f>IFERROR(VLOOKUP($A11,食物数据库V3!$B$6:$F$37,4,FALSE),"")</x:f>
        <x:v>#NAME?</x:v>
      </x:c>
      <x:c r="E11" s="7" t="e">
        <x:f>IFERROR(VLOOKUP($A11,食物数据库V3!$B$6:$F$37,5,FALSE),"")</x:f>
        <x:v>#NAME?</x:v>
      </x:c>
      <x:c r="F11" s="7">
        <x:f t="shared" si="0"/>
        <x:v>13713.1882202305</x:v>
      </x:c>
      <x:c r="G11" s="7">
        <x:f t="shared" si="1"/>
        <x:v>944.444444444444</x:v>
      </x:c>
      <x:c r="H11" s="7">
        <x:f t="shared" si="2"/>
        <x:v>765.133020344288</x:v>
      </x:c>
      <x:c r="I11" s="3" t="s">
        <x:v>350</x:v>
      </x:c>
    </x:row>
    <x:row r="12">
      <x:c r="A12" s="3" t="s">
        <x:v>134</x:v>
      </x:c>
      <x:c r="B12" s="7" t="e">
        <x:f>IFERROR(VLOOKUP($A12,食物数据库V3!$B$6:$F$37,2,FALSE),"")</x:f>
        <x:v>#NAME?</x:v>
      </x:c>
      <x:c r="C12" s="7" t="e">
        <x:f>IFERROR(VLOOKUP($A12,食物数据库V3!$B$6:$F$37,3,FALSE),"")</x:f>
        <x:v>#NAME?</x:v>
      </x:c>
      <x:c r="D12" s="7" t="e">
        <x:f>IFERROR(VLOOKUP($A12,食物数据库V3!$B$6:$F$37,4,FALSE),"")</x:f>
        <x:v>#NAME?</x:v>
      </x:c>
      <x:c r="E12" s="7" t="e">
        <x:f>IFERROR(VLOOKUP($A12,食物数据库V3!$B$6:$F$37,5,FALSE),"")</x:f>
        <x:v>#NAME?</x:v>
      </x:c>
      <x:c r="F12" s="7">
        <x:f t="shared" si="0"/>
        <x:v>3016.9014084507</x:v>
      </x:c>
      <x:c r="G12" s="7">
        <x:f t="shared" si="1"/>
        <x:v>3500</x:v>
      </x:c>
      <x:c r="H12" s="7">
        <x:f t="shared" si="2"/>
        <x:v>76513.3020344288</x:v>
      </x:c>
      <x:c r="I12" s="3" t="s">
        <x:v>351</x:v>
      </x:c>
    </x:row>
    <x:row r="13">
      <x:c r="A13" s="3" t="s">
        <x:v>130</x:v>
      </x:c>
      <x:c r="B13" s="7" t="e">
        <x:f>IFERROR(VLOOKUP($A13,食物数据库V3!$B$6:$F$37,2,FALSE),"")</x:f>
        <x:v>#NAME?</x:v>
      </x:c>
      <x:c r="C13" s="7" t="e">
        <x:f>IFERROR(VLOOKUP($A13,食物数据库V3!$B$6:$F$37,3,FALSE),"")</x:f>
        <x:v>#NAME?</x:v>
      </x:c>
      <x:c r="D13" s="7" t="e">
        <x:f>IFERROR(VLOOKUP($A13,食物数据库V3!$B$6:$F$37,4,FALSE),"")</x:f>
        <x:v>#NAME?</x:v>
      </x:c>
      <x:c r="E13" s="7" t="e">
        <x:f>IFERROR(VLOOKUP($A13,食物数据库V3!$B$6:$F$37,5,FALSE),"")</x:f>
        <x:v>#NAME?</x:v>
      </x:c>
      <x:c r="F13" s="7" t="str">
        <x:f t="shared" si="0"/>
        <x:v>-</x:v>
      </x:c>
      <x:c r="G13" s="7" t="str">
        <x:f t="shared" si="1"/>
        <x:v>-</x:v>
      </x:c>
      <x:c r="H13" s="7">
        <x:f t="shared" si="2"/>
        <x:v>76.5133020344288</x:v>
      </x:c>
      <x:c r="I13" s="3" t="s">
        <x:v>352</x:v>
      </x:c>
    </x:row>
    <x:row r="16" ht="15.75">
      <x:c r="A16" s="4" t="s">
        <x:v>353</x:v>
      </x:c>
    </x:row>
    <x:row r="17">
      <x:c r="A17" s="8" t="s">
        <x:v>354</x:v>
      </x:c>
      <x:c r="B17" s="6" t="e">
        <x:f>100*$E$4/$B$8</x:f>
        <x:v>#NAME?</x:v>
      </x:c>
    </x:row>
    <x:row r="18">
      <x:c r="A18" s="8" t="s">
        <x:v>355</x:v>
      </x:c>
      <x:c r="B18" s="6" t="e">
        <x:f>100*$H$4/$C$10</x:f>
        <x:v>#NAME?</x:v>
      </x:c>
    </x:row>
    <x:row r="19">
      <x:c r="A19" s="8" t="s">
        <x:v>356</x:v>
      </x:c>
      <x:c r="B19" s="6" t="e">
        <x:f>100*$K$4/$D$13</x:f>
        <x:v>#NAME?</x:v>
      </x:c>
    </x:row>
  </x:sheetData>
  <x:mergeCells>
    <x:mergeCell ref="A1:L1"/>
    <x:mergeCell ref="A3:L3"/>
    <x:mergeCell ref="A6:L6"/>
    <x:mergeCell ref="A16:L16"/>
  </x:mergeCells>
  <x:dataValidations count="1">
    <x:dataValidation type="list" allowBlank="1" showInputMessage="1" showErrorMessage="1" sqref="B4">
      <x:formula1>CycleDays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" defaultRowHeight="13.5"/>
  <x:cols>
    <x:col min="1" max="1" width="10" customWidth="1"/>
    <x:col min="2" max="2" width="15" customWidth="1"/>
    <x:col min="3" max="4" width="14" customWidth="1"/>
    <x:col min="5" max="5" width="20" customWidth="1"/>
    <x:col min="6" max="6" width="28" customWidth="1"/>
  </x:cols>
  <x:sheetData>
    <x:row r="1" ht="32" customHeight="1">
      <x:c r="A1" s="1" t="s">
        <x:v>357</x:v>
      </x:c>
    </x:row>
    <x:row r="3">
      <x:c r="A3" s="2" t="s">
        <x:v>358</x:v>
      </x:c>
      <x:c r="B3" s="2" t="s">
        <x:v>359</x:v>
      </x:c>
      <x:c r="C3" s="2" t="s">
        <x:v>360</x:v>
      </x:c>
      <x:c r="D3" s="2" t="s">
        <x:v>361</x:v>
      </x:c>
      <x:c r="E3" s="2" t="s">
        <x:v>362</x:v>
      </x:c>
      <x:c r="F3" s="2" t="s">
        <x:v>73</x:v>
      </x:c>
    </x:row>
    <x:row r="4">
      <x:c r="A4" s="3">
        <x:v>1</x:v>
      </x:c>
      <x:c r="B4" s="3" t="s">
        <x:v>363</x:v>
      </x:c>
      <x:c r="C4" s="3" t="s">
        <x:v>363</x:v>
      </x:c>
      <x:c r="D4" s="3" t="s">
        <x:v>363</x:v>
      </x:c>
      <x:c r="E4" s="3" t="e">
        <x:f>V6周期计划!B8</x:f>
        <x:v>#NAME?</x:v>
      </x:c>
      <x:c r="F4" s="3"/>
    </x:row>
    <x:row r="5">
      <x:c r="A5" s="3">
        <x:v>2</x:v>
      </x:c>
      <x:c r="B5" s="3" t="s">
        <x:v>363</x:v>
      </x:c>
      <x:c r="C5" s="3" t="s">
        <x:v>363</x:v>
      </x:c>
      <x:c r="D5" s="3" t="s">
        <x:v>363</x:v>
      </x:c>
      <x:c r="E5" s="3" t="e">
        <x:f>V6周期计划!B8</x:f>
        <x:v>#NAME?</x:v>
      </x:c>
      <x:c r="F5" s="3"/>
    </x:row>
    <x:row r="6">
      <x:c r="A6" s="3">
        <x:v>3</x:v>
      </x:c>
      <x:c r="B6" s="3" t="s">
        <x:v>363</x:v>
      </x:c>
      <x:c r="C6" s="3" t="s">
        <x:v>363</x:v>
      </x:c>
      <x:c r="D6" s="3" t="s">
        <x:v>363</x:v>
      </x:c>
      <x:c r="E6" s="3" t="e">
        <x:f>V6周期计划!B8</x:f>
        <x:v>#NAME?</x:v>
      </x:c>
      <x:c r="F6" s="3"/>
    </x:row>
    <x:row r="7">
      <x:c r="A7" s="3">
        <x:v>4</x:v>
      </x:c>
      <x:c r="B7" s="3" t="s">
        <x:v>363</x:v>
      </x:c>
      <x:c r="C7" s="3" t="s">
        <x:v>363</x:v>
      </x:c>
      <x:c r="D7" s="3" t="s">
        <x:v>363</x:v>
      </x:c>
      <x:c r="E7" s="3" t="e">
        <x:f>V6周期计划!B8</x:f>
        <x:v>#NAME?</x:v>
      </x:c>
      <x:c r="F7" s="3"/>
    </x:row>
    <x:row r="8">
      <x:c r="A8" s="3">
        <x:v>5</x:v>
      </x:c>
      <x:c r="B8" s="3" t="s">
        <x:v>363</x:v>
      </x:c>
      <x:c r="C8" s="3" t="s">
        <x:v>363</x:v>
      </x:c>
      <x:c r="D8" s="3" t="s">
        <x:v>363</x:v>
      </x:c>
      <x:c r="E8" s="3" t="e">
        <x:f>V6周期计划!B8</x:f>
        <x:v>#NAME?</x:v>
      </x:c>
      <x:c r="F8" s="3"/>
    </x:row>
    <x:row r="9">
      <x:c r="A9" s="3">
        <x:v>6</x:v>
      </x:c>
      <x:c r="B9" s="3" t="s">
        <x:v>363</x:v>
      </x:c>
      <x:c r="C9" s="3" t="s">
        <x:v>363</x:v>
      </x:c>
      <x:c r="D9" s="3" t="s">
        <x:v>363</x:v>
      </x:c>
      <x:c r="E9" s="3" t="e">
        <x:f>V6周期计划!B8</x:f>
        <x:v>#NAME?</x:v>
      </x:c>
      <x:c r="F9" s="3"/>
    </x:row>
    <x:row r="10">
      <x:c r="A10" s="3">
        <x:v>7</x:v>
      </x:c>
      <x:c r="B10" s="3" t="s">
        <x:v>363</x:v>
      </x:c>
      <x:c r="C10" s="3" t="s">
        <x:v>363</x:v>
      </x:c>
      <x:c r="D10" s="3" t="s">
        <x:v>363</x:v>
      </x:c>
      <x:c r="E10" s="3" t="e">
        <x:f>V6周期计划!B8</x:f>
        <x:v>#NAME?</x:v>
      </x:c>
      <x:c r="F10" s="3"/>
    </x:row>
    <x:row r="11">
      <x:c r="A11" s="3">
        <x:v>8</x:v>
      </x:c>
      <x:c r="B11" s="3" t="s">
        <x:v>363</x:v>
      </x:c>
      <x:c r="C11" s="3" t="s">
        <x:v>363</x:v>
      </x:c>
      <x:c r="D11" s="3" t="s">
        <x:v>363</x:v>
      </x:c>
      <x:c r="E11" s="3" t="e">
        <x:f>V6周期计划!B8</x:f>
        <x:v>#NAME?</x:v>
      </x:c>
      <x:c r="F11" s="3"/>
    </x:row>
    <x:row r="12">
      <x:c r="A12" s="3">
        <x:v>9</x:v>
      </x:c>
      <x:c r="B12" s="3" t="s">
        <x:v>363</x:v>
      </x:c>
      <x:c r="C12" s="3" t="s">
        <x:v>363</x:v>
      </x:c>
      <x:c r="D12" s="3" t="s">
        <x:v>363</x:v>
      </x:c>
      <x:c r="E12" s="3" t="e">
        <x:f>V6周期计划!B8</x:f>
        <x:v>#NAME?</x:v>
      </x:c>
      <x:c r="F12" s="3"/>
    </x:row>
    <x:row r="13">
      <x:c r="A13" s="3">
        <x:v>10</x:v>
      </x:c>
      <x:c r="B13" s="3" t="s">
        <x:v>363</x:v>
      </x:c>
      <x:c r="C13" s="3" t="s">
        <x:v>363</x:v>
      </x:c>
      <x:c r="D13" s="3" t="s">
        <x:v>363</x:v>
      </x:c>
      <x:c r="E13" s="3" t="e">
        <x:f>V6周期计划!B8</x:f>
        <x:v>#NAME?</x:v>
      </x:c>
      <x:c r="F13" s="3"/>
    </x:row>
    <x:row r="14">
      <x:c r="A14" s="3">
        <x:v>11</x:v>
      </x:c>
      <x:c r="B14" s="3" t="s">
        <x:v>363</x:v>
      </x:c>
      <x:c r="C14" s="3" t="s">
        <x:v>363</x:v>
      </x:c>
      <x:c r="D14" s="3" t="s">
        <x:v>363</x:v>
      </x:c>
      <x:c r="E14" s="3" t="e">
        <x:f>V6周期计划!B8</x:f>
        <x:v>#NAME?</x:v>
      </x:c>
      <x:c r="F14" s="3"/>
    </x:row>
    <x:row r="15">
      <x:c r="A15" s="3">
        <x:v>12</x:v>
      </x:c>
      <x:c r="B15" s="3" t="s">
        <x:v>363</x:v>
      </x:c>
      <x:c r="C15" s="3" t="s">
        <x:v>363</x:v>
      </x:c>
      <x:c r="D15" s="3" t="s">
        <x:v>363</x:v>
      </x:c>
      <x:c r="E15" s="3" t="e">
        <x:f>V6周期计划!B8</x:f>
        <x:v>#NAME?</x:v>
      </x:c>
      <x:c r="F15" s="3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f4724e020444585"/>
</x:worksheet>
</file>