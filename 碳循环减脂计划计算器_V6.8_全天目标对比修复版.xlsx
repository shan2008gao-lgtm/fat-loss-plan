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x\program\减脂计划\outputs\01a05686-1ac3-7f12-8fdb-214b73e40111\"/>
    </mc:Choice>
  </mc:AlternateContent>
  <bookViews>
    <workbookView windowWidth="23400" windowHeight="11655" activeTab="3"/>
  </bookViews>
  <sheets>
    <sheet name="V6周期计划" sheetId="1" r:id="rId1"/>
    <sheet name="V6设置" sheetId="2" r:id="rId2"/>
    <sheet name="V6智能饮食计划" sheetId="3" r:id="rId3"/>
    <sheet name="V6自由组合饮食计划" sheetId="12" r:id="rId4"/>
    <sheet name="V6周期饮食总览" sheetId="11" r:id="rId5"/>
    <sheet name="食物数据库V3" sheetId="4" r:id="rId6"/>
    <sheet name="饮食计划V3" sheetId="5" r:id="rId7"/>
    <sheet name="使用说明" sheetId="6" r:id="rId8"/>
    <sheet name="下拉列表V3" sheetId="7" r:id="rId9"/>
    <sheet name="TDEE减脂计算" sheetId="8" r:id="rId10"/>
    <sheet name="食物换算" sheetId="9" r:id="rId11"/>
    <sheet name="体重趋势" sheetId="10" r:id="rId12"/>
  </sheets>
  <definedNames>
    <definedName name="Weekdays">下拉列表V3!$A$2:$A$31</definedName>
    <definedName name="CarbFoods">下拉列表V3!$B$2:$B$31</definedName>
    <definedName name="ProteinFoods">下拉列表V3!$C$2:$C$31</definedName>
    <definedName name="FatFoods">下拉列表V3!$D$2:$D$31</definedName>
    <definedName name="VegFoods">下拉列表V3!$E$2:$E$31</definedName>
    <definedName name="CycleDays">下拉列表V3!$F$2:$F$32</definedName>
    <definedName name="CycleTypes">下拉列表V3!$G$2:$G$4</definedName>
    <definedName name="YesNo">下拉列表V3!$H$2:$H$3</definedName>
    <definedName name="TrainingTimes">下拉列表V3!$I$2:$I$6</definedName>
    <definedName name="CycleLength">V6周期计划!$B$9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cryst</author>
  </authors>
  <commentList>
    <comment ref="B9" authorId="0">
      <text>
        <r>
          <rPr>
            <sz val="10"/>
            <rFont val="宋体"/>
            <charset val="134"/>
          </rPr>
          <t>修改周期长度后，只计算编号不大于该长度的循环日。第8～31天已预填循环模板，可继续逐日调整。</t>
        </r>
      </text>
    </comment>
  </commentList>
</comments>
</file>

<file path=xl/comments2.xml><?xml version="1.0" encoding="utf-8"?>
<comments xmlns="http://schemas.openxmlformats.org/spreadsheetml/2006/main">
  <authors>
    <author>tc={4E96F103-5284-45CD-B7CA-A08442B45BCF}</author>
    <author>tc={8EEEA1CF-431E-403F-A244-583E5CC8A4D1}</author>
  </authors>
  <commentList>
    <comment ref="G7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营养基准重量会根据食物数据库的营养数据口径和熟重÷生重系数，将用户输入的生重或熟重折算后再计算营养。</t>
        </r>
      </text>
    </comment>
    <comment ref="K7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热量直接使用“食物数据库V3”F列的每100g估算热量，避免与三大营养素再次重复计算。</t>
        </r>
      </text>
    </comment>
  </commentList>
</comments>
</file>

<file path=xl/comments3.xml><?xml version="1.0" encoding="utf-8"?>
<comments xmlns="http://schemas.openxmlformats.org/spreadsheetml/2006/main">
  <authors>
    <author>cryst</author>
  </authors>
  <commentList>
    <comment ref="F5" authorId="0">
      <text>
        <r>
          <rPr>
            <sz val="10"/>
            <rFont val="宋体"/>
            <charset val="134"/>
          </rPr>
          <t>自动公式：每100g估算热量 = 碳水×4 + 蛋白质×4 + 脂肪×9。因膳食纤维、糖醇及标签四舍五入，可能与包装标示略有差异。</t>
        </r>
      </text>
    </comment>
    <comment ref="J5" authorId="0">
      <text>
        <r>
          <rPr>
            <sz val="10"/>
            <rFont val="宋体"/>
            <charset val="134"/>
          </rPr>
          <t>参考值会因品牌、烹饪温度、时间和含水量变化。建议用同一批食物记录生重与熟重，按“熟重÷生重”替换。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<sst xmlns="http://schemas.openxmlformats.org/spreadsheetml/2006/main" count="950" uniqueCount="382">
  <si>
    <t>碳循环减脂计划计算器 V6｜1～31天自定义循环</t>
  </si>
  <si>
    <t>① 基础参数与循环长度（黄色单元格可修改）</t>
  </si>
  <si>
    <t>体重（kg）</t>
  </si>
  <si>
    <t>当前体重；TDEE页会自动关联</t>
  </si>
  <si>
    <t>基础碳水（g/kg/天）</t>
  </si>
  <si>
    <t>用于计算整个循环的碳水总量</t>
  </si>
  <si>
    <t>蛋白质（g/kg/天）</t>
  </si>
  <si>
    <t>每个循环日固定</t>
  </si>
  <si>
    <t>基础脂肪（g/kg/天）</t>
  </si>
  <si>
    <t>用于计算默认计划日均热量</t>
  </si>
  <si>
    <t>计划日均热量（kcal）</t>
  </si>
  <si>
    <t>脂肪按日反向计算；也可直接改成目标热量</t>
  </si>
  <si>
    <t>循环长度（天）</t>
  </si>
  <si>
    <t>允许1～31天；默认保留原7天安排</t>
  </si>
  <si>
    <t>② 高/中/低碳分配（按实际天数和强度权重自动归一化）</t>
  </si>
  <si>
    <t>类型</t>
  </si>
  <si>
    <t>有效天数</t>
  </si>
  <si>
    <t>单日强度权重</t>
  </si>
  <si>
    <t>自动循环占比</t>
  </si>
  <si>
    <t>该类型循环碳水(g)</t>
  </si>
  <si>
    <t>每个该类日碳水(g)</t>
  </si>
  <si>
    <t>碳水(g/kg)</t>
  </si>
  <si>
    <t>每类日脂肪(g)</t>
  </si>
  <si>
    <t>状态</t>
  </si>
  <si>
    <t>周期汇总</t>
  </si>
  <si>
    <t>高碳日</t>
  </si>
  <si>
    <t>周期总碳水(g)</t>
  </si>
  <si>
    <t>日均热量</t>
  </si>
  <si>
    <t>中碳日</t>
  </si>
  <si>
    <t>周期总蛋白(g)</t>
  </si>
  <si>
    <t>训练日</t>
  </si>
  <si>
    <t>低碳日</t>
  </si>
  <si>
    <t>周期总脂肪(g)</t>
  </si>
  <si>
    <t>休息日</t>
  </si>
  <si>
    <t>权重检查</t>
  </si>
  <si>
    <t>已配置天数</t>
  </si>
  <si>
    <t>周期长度</t>
  </si>
  <si>
    <t>配置检查</t>
  </si>
  <si>
    <t>周期总热量(kcal)</t>
  </si>
  <si>
    <t>配置状态</t>
  </si>
  <si>
    <t>③ 循环日配置与每日营养目标（黄色列可逐日修改）</t>
  </si>
  <si>
    <t>循环日</t>
  </si>
  <si>
    <t>显示名称</t>
  </si>
  <si>
    <t>碳循环类型</t>
  </si>
  <si>
    <t>是否训练</t>
  </si>
  <si>
    <t>训练时间</t>
  </si>
  <si>
    <t>餐食模板</t>
  </si>
  <si>
    <t>碳水(g)</t>
  </si>
  <si>
    <t>蛋白质(g)</t>
  </si>
  <si>
    <t>脂肪(g)</t>
  </si>
  <si>
    <t>总热量(kcal)</t>
  </si>
  <si>
    <t>脂肪(g/kg)</t>
  </si>
  <si>
    <t>是</t>
  </si>
  <si>
    <t>晚饭前</t>
  </si>
  <si>
    <t>否</t>
  </si>
  <si>
    <t>-</t>
  </si>
  <si>
    <t>周期合计</t>
  </si>
  <si>
    <t>使用方法：先在B9设置循环长度，再逐日调整C～E列；周期可以是7、10、14、21或其他1～31天长度。</t>
  </si>
  <si>
    <t>碳水总量按“体重 × 基础碳水 × 循环长度”计算；默认高/中/低权重为1.60/0.90/0.60，并依据实际天数自动归一化，因此改变周期长度也不会丢失或重复分配碳水。</t>
  </si>
  <si>
    <t>训练日自动套用含纯碳水练前餐的模板，休息日自动取消练前餐。完整分餐目标请查看“V6周期饮食总览”，克数请查看“V6智能饮食计划”。</t>
  </si>
  <si>
    <t>碳循环减脂 V6｜循环联动与餐食分配设置</t>
  </si>
  <si>
    <t>① 循环与饮食联动（循环日在“V6周期计划”设置）</t>
  </si>
  <si>
    <t>当前循环长度（天）</t>
  </si>
  <si>
    <t>训练日数量</t>
  </si>
  <si>
    <t>休息日数量</t>
  </si>
  <si>
    <t>• 每个循环日独立设置高/中/低碳、是否训练及训练时间；修改循环长度后，只有启用的循环日参与计算。</t>
  </si>
  <si>
    <t>• 训练日自动使用下方训练日模板，并安排纯碳水练前餐；休息日自动使用休息日模板且取消练前餐。</t>
  </si>
  <si>
    <t>• 高/中/低碳默认权重1.60/0.90/0.60并按实际天数自动归一化；分餐比例按营养素分别分配，三列均应各自合计100%。</t>
  </si>
  <si>
    <t>② 训练日餐食分配（练前餐为纯碳水；晚饭/练后餐碳水固定40%）</t>
  </si>
  <si>
    <t>餐次</t>
  </si>
  <si>
    <t>碳水比例</t>
  </si>
  <si>
    <t>蛋白质比例</t>
  </si>
  <si>
    <t>脂肪比例</t>
  </si>
  <si>
    <t>备注</t>
  </si>
  <si>
    <t>早餐</t>
  </si>
  <si>
    <t>正常早餐</t>
  </si>
  <si>
    <t>午餐</t>
  </si>
  <si>
    <t>下午训练前保持饱腹</t>
  </si>
  <si>
    <t>练前餐</t>
  </si>
  <si>
    <t>纯碳水餐：训练前60~90分钟，只安排易消化主食</t>
  </si>
  <si>
    <t>晚饭/练后餐</t>
  </si>
  <si>
    <t>训练后重点补充；承接练前餐移出的蛋白质/脂肪</t>
  </si>
  <si>
    <t>合计</t>
  </si>
  <si>
    <t>③ 休息日餐食分配（练前餐自动取消）</t>
  </si>
  <si>
    <t>正常</t>
  </si>
  <si>
    <t>当天主餐</t>
  </si>
  <si>
    <t>休息日不需要，可留空</t>
  </si>
  <si>
    <t>晚饭</t>
  </si>
  <si>
    <t>④ V6 精确配餐与周期联动逻辑</t>
  </si>
  <si>
    <t>1）智能配餐以当前选择的循环日为入口，同时读取该日碳类型、训练状态、训练时间和三大营养素目标；</t>
  </si>
  <si>
    <t>2）非练前餐联立主食、蛋白食物、脂肪食物的营养矩阵；异常时自动回退到碳水→蛋白质→脂肪顺序残差；</t>
  </si>
  <si>
    <t>3）训练日练前餐只安排易消化主食；休息日练前餐为0，其他三餐按休息日比例分配；</t>
  </si>
  <si>
    <t>4）营养计算使用数据库口径，显示克数再依据“熟重÷生重系数”转换；换算不会重复计算营养；</t>
  </si>
  <si>
    <t>5）“V6周期饮食总览”显示整个循环每一天、每一餐的营养目标；“V6智能饮食计划”用于查看单日食物克数。</t>
  </si>
  <si>
    <t>碳循环减脂 V6.4｜按循环日智能配餐＋主选候补同列</t>
  </si>
  <si>
    <t>① 选择循环日（自动联动碳类型、训练状态与餐食模板）</t>
  </si>
  <si>
    <t>选择循环日</t>
  </si>
  <si>
    <t>碳水目标(g)</t>
  </si>
  <si>
    <t>蛋白质目标(g)</t>
  </si>
  <si>
    <t>脂肪目标(g)</t>
  </si>
  <si>
    <t>热量目标(kcal)</t>
  </si>
  <si>
    <t>循环日状态</t>
  </si>
  <si>
    <t>选择提示</t>
  </si>
  <si>
    <t>② 餐食比例（按当前循环日自动切换训练/休息模板）</t>
  </si>
  <si>
    <t>餐食状态</t>
  </si>
  <si>
    <t>③ 智能配餐（每餐主选与候补同列对照）</t>
  </si>
  <si>
    <t>方案</t>
  </si>
  <si>
    <t>碳水%</t>
  </si>
  <si>
    <t>蛋白%</t>
  </si>
  <si>
    <t>脂肪%</t>
  </si>
  <si>
    <t>主食选择</t>
  </si>
  <si>
    <t>主食口径</t>
  </si>
  <si>
    <t>主食克数</t>
  </si>
  <si>
    <t>蛋白选择</t>
  </si>
  <si>
    <t>蛋白口径</t>
  </si>
  <si>
    <t>蛋白克数</t>
  </si>
  <si>
    <t>脂肪选择</t>
  </si>
  <si>
    <t>脂肪克数</t>
  </si>
  <si>
    <t>蔬菜选择</t>
  </si>
  <si>
    <t>蔬菜克数</t>
  </si>
  <si>
    <t>本餐碳水</t>
  </si>
  <si>
    <t>本餐蛋白</t>
  </si>
  <si>
    <t>本餐脂肪</t>
  </si>
  <si>
    <t>本餐热量</t>
  </si>
  <si>
    <t>求解模式</t>
  </si>
  <si>
    <t>主选</t>
  </si>
  <si>
    <t>土豆（熟）</t>
  </si>
  <si>
    <t>熟重</t>
  </si>
  <si>
    <t>鸡蛋</t>
  </si>
  <si>
    <t>生重</t>
  </si>
  <si>
    <t>橄榄油</t>
  </si>
  <si>
    <t>胡萝卜</t>
  </si>
  <si>
    <t>候补1</t>
  </si>
  <si>
    <t>燕麦（干）</t>
  </si>
  <si>
    <t>脱脂牛奶</t>
  </si>
  <si>
    <t>腰果</t>
  </si>
  <si>
    <t>候补2</t>
  </si>
  <si>
    <t>全麦面包</t>
  </si>
  <si>
    <t>希腊酸奶（低脂）</t>
  </si>
  <si>
    <t>杏仁</t>
  </si>
  <si>
    <t>候补3</t>
  </si>
  <si>
    <t>熟米饭</t>
  </si>
  <si>
    <t>花生酱</t>
  </si>
  <si>
    <t>鸡胸肉（生）</t>
  </si>
  <si>
    <t>西兰花</t>
  </si>
  <si>
    <t>虾仁</t>
  </si>
  <si>
    <t>红薯（熟）</t>
  </si>
  <si>
    <t>金枪鱼（水浸）</t>
  </si>
  <si>
    <t>牛油果</t>
  </si>
  <si>
    <t>荞麦面（熟）</t>
  </si>
  <si>
    <t>④ 全天实际摄入 vs 当天目标</t>
  </si>
  <si>
    <t>项目</t>
  </si>
  <si>
    <t>目标</t>
  </si>
  <si>
    <t>实际</t>
  </si>
  <si>
    <t>差异（实际-目标）</t>
  </si>
  <si>
    <t>热量(kcal)</t>
  </si>
  <si>
    <t>⑤ 使用提示</t>
  </si>
  <si>
    <t>• 在B4选择循环日编号；碳类型、训练状态、训练时间、营养目标和餐食模板均自动来自“V6周期计划”。</t>
  </si>
  <si>
    <t>• 每个餐次按“主选、候补1、候补2、候补3”纵向排列；候补食物与主选位于相同列，便于直接比较。</t>
  </si>
  <si>
    <t>• 候补为主食、蛋白质、脂肪的单项等效替换，不代表候补1三种食物必须同时组成一整餐。</t>
  </si>
  <si>
    <t>• 训练日练前餐是纯碳水餐，只选择主食；休息日练前餐自动为0。主食天然携带的少量蛋白质/脂肪仍计入实际。</t>
  </si>
  <si>
    <t>• 主食口径与蛋白口径可选择“生重/熟重”；换算只改变建议称量克数，不改变同一份食物对应的营养素。</t>
  </si>
  <si>
    <t>• 熟重÷生重系数可在“食物数据库V3”J列修改；米饭、荞麦面、鸡胸肉建议按自家烹饪实测。</t>
  </si>
  <si>
    <t>• 替换候补后，应再次查看第④部分的实际合计；“精确/顺序”表示主选食物的联立求解模式。</t>
  </si>
  <si>
    <t>⑤ 候补替代（按当前精确解中各食物承担的主要营养素等效）</t>
  </si>
  <si>
    <t>主食候补1</t>
  </si>
  <si>
    <t>克数</t>
  </si>
  <si>
    <t>主食候补2</t>
  </si>
  <si>
    <t>主食候补3</t>
  </si>
  <si>
    <t>蛋白候补1</t>
  </si>
  <si>
    <t>蛋白候补2</t>
  </si>
  <si>
    <t>蛋白候补3</t>
  </si>
  <si>
    <t>脂肪候补1</t>
  </si>
  <si>
    <t>脂肪候补2</t>
  </si>
  <si>
    <t>脂肪候补3</t>
  </si>
  <si>
    <t>碳循环减脂 V6.8｜自由组合饮食计划（每餐最多6种食物）</t>
  </si>
  <si>
    <t>① 选择循环日（完整目标信息已收拢到本页可视宽度内）</t>
  </si>
  <si>
    <t>② 自由组合配餐（黄色区域可修改；每餐最多6种食物）</t>
  </si>
  <si>
    <t>序号</t>
  </si>
  <si>
    <t>类别</t>
  </si>
  <si>
    <t>食物选择</t>
  </si>
  <si>
    <t>称重口径</t>
  </si>
  <si>
    <t>输入重量(g)</t>
  </si>
  <si>
    <t>营养基准重量(g)</t>
  </si>
  <si>
    <t>主食</t>
  </si>
  <si>
    <t>蛋白质</t>
  </si>
  <si>
    <t>全脂牛奶</t>
  </si>
  <si>
    <t>脂肪</t>
  </si>
  <si>
    <t>蔬菜</t>
  </si>
  <si>
    <t>③ 每餐与全天营养汇总</t>
  </si>
  <si>
    <t>④ 全天目标对比</t>
  </si>
  <si>
    <t>食物种数</t>
  </si>
  <si>
    <t>差异</t>
  </si>
  <si>
    <t>全天合计</t>
  </si>
  <si>
    <t>• 每餐固定预留6个槽位；先选类别，再从对应下拉列表选择食物，未使用的槽位保持空白即可。</t>
  </si>
  <si>
    <t>• 黄色区域为输入项：类别、食物、称重口径和重量均可修改；示例搭配仅用于展示，可全部替换。</t>
  </si>
  <si>
    <t>• 称重口径默认读取食物数据库的建议口径；改为生重或熟重后，会按“熟重÷生重系数”折算到营养数据口径。</t>
  </si>
  <si>
    <t>• 碳水、蛋白质、脂肪和热量按食物数据库每100g数据计算；全天合计自动与所选循环日目标比较。</t>
  </si>
  <si>
    <t>• 新增食物仍在“食物数据库V3”维护，并会通过动态分类下拉列表进入本页；原“V6智能饮食计划”保持不变。</t>
  </si>
  <si>
    <t>碳循环减脂 V6｜整个循环的每日分餐营养目标</t>
  </si>
  <si>
    <t>循环长度改变后，本表自动启用或停用对应循环日；训练日含纯碳水练前餐</t>
  </si>
  <si>
    <t>名称</t>
  </si>
  <si>
    <t>碳类型</t>
  </si>
  <si>
    <t>训练</t>
  </si>
  <si>
    <t>日碳水</t>
  </si>
  <si>
    <t>日蛋白</t>
  </si>
  <si>
    <t>日脂肪</t>
  </si>
  <si>
    <t>早餐碳水</t>
  </si>
  <si>
    <t>早餐蛋白</t>
  </si>
  <si>
    <t>早餐脂肪</t>
  </si>
  <si>
    <t>午餐碳水</t>
  </si>
  <si>
    <t>午餐蛋白</t>
  </si>
  <si>
    <t>午餐脂肪</t>
  </si>
  <si>
    <t>练前碳水</t>
  </si>
  <si>
    <t>练前蛋白</t>
  </si>
  <si>
    <t>练前脂肪</t>
  </si>
  <si>
    <t>晚/练后碳水</t>
  </si>
  <si>
    <t>晚/练后蛋白</t>
  </si>
  <si>
    <t>晚/练后脂肪</t>
  </si>
  <si>
    <t>说明：本表展示营养素目标，不直接指定食物。选择具体食物、称重口径和查看克数请进入“V6智能饮食计划”。</t>
  </si>
  <si>
    <t>训练日：早餐/午餐/纯碳水练前餐/晚饭或练后餐；休息日：早餐/午餐/晚餐，练前餐三项自动为0。</t>
  </si>
  <si>
    <t>如果修改V6设置中的分餐比例，请确认碳水、蛋白质和脂肪各列均合计100%，本总览会同步重算。</t>
  </si>
  <si>
    <t>碳循环减脂 V6｜可编辑食物营养与生熟重数据库</t>
  </si>
  <si>
    <t>说明：营养数据按“营养数据口径”的每100g填写；F列按碳水×4＋蛋白质×4＋脂肪×9自动估算热量。V6可按建议或自选称重口径显示克数。</t>
  </si>
  <si>
    <t>食物名称</t>
  </si>
  <si>
    <t>估算热量(kcal)</t>
  </si>
  <si>
    <t>默认单位</t>
  </si>
  <si>
    <t>营养数据口径</t>
  </si>
  <si>
    <t>建议称重口径</t>
  </si>
  <si>
    <t>熟重÷生重系数</t>
  </si>
  <si>
    <t>g</t>
  </si>
  <si>
    <t>常见熟重数据；系数受米种和加水量影响</t>
  </si>
  <si>
    <t>蒸/煮后参考</t>
  </si>
  <si>
    <t>蒸熟参考</t>
  </si>
  <si>
    <t>干重营养；熟粥吸水量差异大</t>
  </si>
  <si>
    <t>无需换算</t>
  </si>
  <si>
    <t>不同品牌差异较大</t>
  </si>
  <si>
    <t>玉米（熟）</t>
  </si>
  <si>
    <t>可食部分参考</t>
  </si>
  <si>
    <t>意面（熟）</t>
  </si>
  <si>
    <t>熟重；系数受软硬程度影响</t>
  </si>
  <si>
    <t>去皮鸡胸常见熟重约为生重的75%</t>
  </si>
  <si>
    <t>鸡胸肉（熟）</t>
  </si>
  <si>
    <t>熟重营养；可反算生重</t>
  </si>
  <si>
    <t>全蛋</t>
  </si>
  <si>
    <t>100ml≈100g</t>
  </si>
  <si>
    <t>按品牌修改</t>
  </si>
  <si>
    <t>沥干后参考</t>
  </si>
  <si>
    <t>生重参考；熟制失水因方法而异</t>
  </si>
  <si>
    <t>纯脂肪来源</t>
  </si>
  <si>
    <t>可食部分</t>
  </si>
  <si>
    <t>坚果</t>
  </si>
  <si>
    <t>无糖型参考</t>
  </si>
  <si>
    <t>按可食部分称重；需要时可自行增加换算系数</t>
  </si>
  <si>
    <t>生菜</t>
  </si>
  <si>
    <t>菠菜</t>
  </si>
  <si>
    <t>番茄</t>
  </si>
  <si>
    <t>黄瓜</t>
  </si>
  <si>
    <t>熟重参考；系数受品牌和煮制时间影响</t>
  </si>
  <si>
    <t>坚果，脂肪来源之一</t>
  </si>
  <si>
    <t>使用建议</t>
  </si>
  <si>
    <t>1）修改食物营养数据时，只需填写 C～E 列碳水、蛋白质和脂肪；F 列会按 4/4/9 自动估算热量。并请同步确认 H 列“营养数据口径”与 J 列“熟重÷生重系数”。</t>
  </si>
  <si>
    <t>2）V6显示克数会按 I 列默认口径或智能计划中的自选口径转换；营养计算仍回到 H 列基准口径，避免生熟重量重复计入。</t>
  </si>
  <si>
    <t>3）可在第32～37行新增食物；若需要加入下拉菜单，请同步填写“下拉列表V3”中的对应类别。</t>
  </si>
  <si>
    <t>基础三餐参考｜按V6循环日读取目标（训练日建议优先使用V6智能饮食计划）</t>
  </si>
  <si>
    <t>① 选择当天（黄色可修改）</t>
  </si>
  <si>
    <t>② 每餐分配比例（可修改；默认早餐30% / 午餐40% / 晚餐30%）</t>
  </si>
  <si>
    <t>晚餐</t>
  </si>
  <si>
    <t>③ 自动生成每日三餐（下拉选择不同食物即可自动换算克数）</t>
  </si>
  <si>
    <t>比例</t>
  </si>
  <si>
    <t>主食碳水</t>
  </si>
  <si>
    <t>主食蛋白</t>
  </si>
  <si>
    <t>主食脂肪</t>
  </si>
  <si>
    <t>蛋白碳水</t>
  </si>
  <si>
    <t>蛋白蛋白</t>
  </si>
  <si>
    <t>蛋白脂肪</t>
  </si>
  <si>
    <t>脂肪碳水</t>
  </si>
  <si>
    <t>脂肪蛋白</t>
  </si>
  <si>
    <t>脂肪脂肪</t>
  </si>
  <si>
    <t>蔬菜碳水</t>
  </si>
  <si>
    <t>蔬菜蛋白</t>
  </si>
  <si>
    <t>蔬菜脂肪</t>
  </si>
  <si>
    <t>全天实际合计</t>
  </si>
  <si>
    <t>④ 实际摄入 vs 当天目标</t>
  </si>
  <si>
    <t>⑤ 候补替代方案：同一餐可选择不同主食/蛋白/脂肪，自动计算等效克数</t>
  </si>
  <si>
    <t>等效克数</t>
  </si>
  <si>
    <t>说明</t>
  </si>
  <si>
    <t>候补替代的“等效克数”按该餐分配的主要营养目标计算：主食按碳水、蛋白食物按蛋白质、脂肪来源按脂肪。不同食物的附带碳水/蛋白/脂肪不同，因此最终实际总量请看上方“实际摄入 vs 目标”。</t>
  </si>
  <si>
    <t>使用说明</t>
  </si>
  <si>
    <t>1. 周期安排</t>
  </si>
  <si>
    <t>在“V6周期计划”设置1～31天循环长度，再逐日指定高/中/低碳、训练状态和训练时间；不再绑定星期。</t>
  </si>
  <si>
    <t>2. 图片比例</t>
  </si>
  <si>
    <t>高/中/低碳默认单日强度权重为1.60/0.90/0.60，可自行修改；系统依据实际天数自动归一化，无论周期长度如何变化，循环碳水总量都保持一致。</t>
  </si>
  <si>
    <t>3. 蛋白质</t>
  </si>
  <si>
    <t>每天固定 = 体重 × 蛋白质 g/kg。</t>
  </si>
  <si>
    <t>4. 脂肪自动调整</t>
  </si>
  <si>
    <t>脂肪 =（计划日均热量 − 当天碳水×4 − 蛋白质×4）÷9，最低为0，使每天热量基本一致。</t>
  </si>
  <si>
    <t>5. V2新增</t>
  </si>
  <si>
    <t>增加TDEE估算、减脂热量参考、食物等价换算、12周体重/腰围趋势图。</t>
  </si>
  <si>
    <t>6. 如何使用</t>
  </si>
  <si>
    <t>先修改“V6周期计划”的黄色参数和循环日配置；再到“V6周期饮食总览”核对整周期分餐，最后在“V6智能饮食计划”选择循环日查看食物克数。</t>
  </si>
  <si>
    <t>7. 注意</t>
  </si>
  <si>
    <t>食物营养数据因品牌、烹饪方式和生熟重量而不同，建议以包装标签和实际称重为准。</t>
  </si>
  <si>
    <t>8. V3新增</t>
  </si>
  <si>
    <t>“饮食计划V3”和“食物换算”已改为按循环日读取目标；训练日的纯碳水练前餐与精确克数以“V6智能饮食计划”为准。</t>
  </si>
  <si>
    <t>9. 候补替代</t>
  </si>
  <si>
    <t>每餐提供3种主食、3种蛋白、3种脂肪候补，可直接通过下拉菜单更换并查看等效克数。</t>
  </si>
  <si>
    <t>10. 自定义食物</t>
  </si>
  <si>
    <t>可在“食物数据库V3”修改每100g碳水、蛋白质、脂肪和热量；主计划会自动重新计算。新增食物后如需加入下拉菜单，请同步填写“下拉列表V3”。</t>
  </si>
  <si>
    <t>11. V4训练日配餐</t>
  </si>
  <si>
    <t>训练安排不再固定到周一至周日。每个循环日独立设置是否训练；训练日自动增加纯碳水练前餐，休息日自动取消。</t>
  </si>
  <si>
    <t>12. V4新增食物</t>
  </si>
  <si>
    <t>主食新增荞麦面（熟）；脂肪来源新增腰果；蔬菜新增胡萝卜，均可在食物数据库中自行修改营养数据。</t>
  </si>
  <si>
    <t>13. V5精确联立配餐</t>
  </si>
  <si>
    <t>主食、蛋白食物和脂肪食物不再简单各算各的，而是联立三大营养素共同求解；无法得到合理非负解时自动回退到顺序残差法。</t>
  </si>
  <si>
    <t>14. V5生熟重换算</t>
  </si>
  <si>
    <t>在“V6智能饮食计划”中可为主食和蛋白食物选择生重/熟重；数据库J列为“熟重÷生重”系数，可按自家烹饪实测修改。</t>
  </si>
  <si>
    <t>15. 练前纯碳水</t>
  </si>
  <si>
    <t>训练日练前餐只安排易消化主食，蛋白和脂肪目标为0；其他三餐承接全天蛋白和脂肪。休息日不安排练前餐。</t>
  </si>
  <si>
    <t>16. V6自定义周期</t>
  </si>
  <si>
    <t>循环长度支持1～31天。第8～31天已按原7天模板循环预填，增大周期长度后可直接使用，也可逐日修改。</t>
  </si>
  <si>
    <t>17. V6饮食同步</t>
  </si>
  <si>
    <t>碳类型决定每日三大营养素目标，训练状态决定训练/休息餐食模板；两者均由同一个循环日配置驱动。</t>
  </si>
  <si>
    <t>18. V6整周期总览</t>
  </si>
  <si>
    <t>新增“V6周期饮食总览”，按循环日列出全天与四餐营养目标；单日食物克数继续由智能配餐联立求解。</t>
  </si>
  <si>
    <t>星期</t>
  </si>
  <si>
    <t>周一</t>
  </si>
  <si>
    <t>周二</t>
  </si>
  <si>
    <t>早餐前</t>
  </si>
  <si>
    <t>周三</t>
  </si>
  <si>
    <t>午饭前</t>
  </si>
  <si>
    <t>周四</t>
  </si>
  <si>
    <t>周五</t>
  </si>
  <si>
    <t>其他</t>
  </si>
  <si>
    <t>周六</t>
  </si>
  <si>
    <t>周日</t>
  </si>
  <si>
    <t>TDEE 与减脂热量参考</t>
  </si>
  <si>
    <t>① 输入个人参数（黄色可修改）</t>
  </si>
  <si>
    <t>性别</t>
  </si>
  <si>
    <t>男</t>
  </si>
  <si>
    <t>男/女</t>
  </si>
  <si>
    <t>年龄（岁）</t>
  </si>
  <si>
    <t>例如30</t>
  </si>
  <si>
    <t>身高（cm）</t>
  </si>
  <si>
    <t>厘米</t>
  </si>
  <si>
    <t>体重（kg)</t>
  </si>
  <si>
    <t>自动关联主表体重</t>
  </si>
  <si>
    <t>活动系数</t>
  </si>
  <si>
    <t>久坐1.2；轻度1.375；中等1.55；高1.725；很高1.9</t>
  </si>
  <si>
    <t>每日热量缺口（kcal）</t>
  </si>
  <si>
    <t>常用参考300-500</t>
  </si>
  <si>
    <t>② 自动计算结果</t>
  </si>
  <si>
    <t>基础代谢 BMR (kcal)</t>
  </si>
  <si>
    <t>TDEE (kcal)</t>
  </si>
  <si>
    <t>建议减脂目标热量 (kcal)</t>
  </si>
  <si>
    <t>当前主计划日均热量</t>
  </si>
  <si>
    <t>主计划与建议差额</t>
  </si>
  <si>
    <t>提示：TDEE 为估算值，不是精确消耗。你可以把“建议减脂目标热量”作为参考，再决定是否修改主表中的“计划日均热量”。</t>
  </si>
  <si>
    <t>食物等价换算｜按V6循环日读取目标</t>
  </si>
  <si>
    <t>① 选择当天</t>
  </si>
  <si>
    <t>② 常用食物营养（自动读取“食物数据库V3”；请在数据库页修改）</t>
  </si>
  <si>
    <t>食物</t>
  </si>
  <si>
    <t>满足当天碳水需吃(g)</t>
  </si>
  <si>
    <t>满足当天蛋白需吃(g)</t>
  </si>
  <si>
    <t>满足当天脂肪需吃(g)</t>
  </si>
  <si>
    <t>主要碳水来源</t>
  </si>
  <si>
    <t>碳水+蛋白</t>
  </si>
  <si>
    <t>主要蛋白来源</t>
  </si>
  <si>
    <t>蛋白+脂肪</t>
  </si>
  <si>
    <t>蛋白+碳水</t>
  </si>
  <si>
    <t>主要脂肪来源</t>
  </si>
  <si>
    <t>③ 快速参考（单一食物等价，不代表推荐的一餐搭配）</t>
  </si>
  <si>
    <t>当天碳水约等于多少熟米饭(g)</t>
  </si>
  <si>
    <t>当天蛋白约等于多少鸡胸肉(g)</t>
  </si>
  <si>
    <t>当天脂肪约等于多少橄榄油(g)</t>
  </si>
  <si>
    <t>减脂进度记录与趋势</t>
  </si>
  <si>
    <t>周次</t>
  </si>
  <si>
    <t>日期</t>
  </si>
  <si>
    <t>体重(kg)</t>
  </si>
  <si>
    <t>腰围(cm)</t>
  </si>
  <si>
    <t>平均日摄入(kcal)</t>
  </si>
  <si>
    <t>363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</si>
</sst>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"/>
    <numFmt numFmtId="178" formatCode="0.0%"/>
  </numFmts>
  <fonts count="38">
    <font>
      <sz val="11"/>
      <color theme="1"/>
      <name val="宋体"/>
      <charset val="134"/>
    </font>
    <font>
      <b/>
      <sz val="20"/>
      <color rgb="FFFFFFFF"/>
      <name val="宋体"/>
      <charset val="134"/>
    </font>
    <font>
      <b/>
      <sz val="11"/>
      <color rgb="FFFFFFFF"/>
      <name val="宋体"/>
      <charset val="134"/>
    </font>
    <font>
      <b/>
      <sz val="12"/>
      <color rgb="FFFFFFFF"/>
      <name val="宋体"/>
      <charset val="134"/>
    </font>
    <font>
      <b/>
      <sz val="11"/>
      <name val="宋体"/>
      <charset val="134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b/>
      <sz val="11"/>
      <color theme="1"/>
      <name val="宋体"/>
      <charset val="134"/>
    </font>
    <font>
      <b/>
      <sz val="18"/>
      <color rgb="FFFFFFFF"/>
      <name val="宋体"/>
      <charset val="134"/>
    </font>
    <font>
      <i/>
      <sz val="11"/>
      <color rgb="FF666666"/>
      <name val="宋体"/>
      <charset val="134"/>
    </font>
    <font>
      <sz val="11"/>
      <color rgb="FF000000"/>
      <name val="宋体"/>
      <charset val="134"/>
    </font>
    <font>
      <b/>
      <sz val="11"/>
      <color rgb="FFFFFFFF"/>
      <name val="Microsoft YaHei"/>
      <charset val="134"/>
    </font>
    <font>
      <b/>
      <sz val="18"/>
      <color rgb="FFFFFFFF"/>
      <name val="Microsoft YaHei"/>
      <charset val="134"/>
    </font>
    <font>
      <b/>
      <sz val="10"/>
      <color theme="1"/>
      <name val="Microsoft YaHei"/>
      <charset val="134"/>
    </font>
    <font>
      <sz val="11"/>
      <color rgb="FF444444"/>
      <name val="宋体"/>
      <charset val="134"/>
    </font>
    <font>
      <b/>
      <sz val="11"/>
      <color rgb="FFFFFFFF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rgb="FFFFFFFF"/>
      <name val="微软雅黑"/>
      <charset val="134"/>
    </font>
    <font>
      <sz val="11"/>
      <color rgb="FF666666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0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rgb="FF3B2A59"/>
        <bgColor indexed="64"/>
      </patternFill>
    </fill>
    <fill>
      <patternFill patternType="solid">
        <fgColor rgb="FFD99A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69E00"/>
        <bgColor indexed="64"/>
      </patternFill>
    </fill>
    <fill>
      <patternFill patternType="solid">
        <fgColor rgb="FF3F2A56"/>
        <bgColor indexed="64"/>
      </patternFill>
    </fill>
    <fill>
      <patternFill patternType="solid">
        <fgColor rgb="FF5B3F7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AEDDD"/>
        <bgColor indexed="64"/>
      </patternFill>
    </fill>
    <fill>
      <patternFill patternType="solid">
        <fgColor rgb="FF5B3A78"/>
        <bgColor indexed="64"/>
      </patternFill>
    </fill>
    <fill>
      <patternFill patternType="solid">
        <fgColor rgb="FFF7F4FA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5B3A78"/>
      </top>
      <bottom style="thin">
        <color rgb="FFD9D9D9"/>
      </bottom>
      <diagonal/>
    </border>
    <border>
      <left style="medium">
        <color rgb="FF5B3A78"/>
      </left>
      <right style="medium">
        <color rgb="FF5B3A78"/>
      </right>
      <top style="medium">
        <color rgb="FF5B3A78"/>
      </top>
      <bottom style="medium">
        <color rgb="FF5B3A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0" borderId="10" applyNumberFormat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31" fillId="9" borderId="10" applyNumberFormat="0" applyAlignment="0" applyProtection="0">
      <alignment vertical="center"/>
    </xf>
    <xf numFmtId="0" fontId="2" fillId="21" borderId="12" applyNumberFormat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</cellStyleXfs>
  <cellXfs count="1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0" fillId="4" borderId="0" xfId="0" applyFill="1"/>
    <xf numFmtId="176" fontId="0" fillId="0" borderId="0" xfId="0" applyNumberFormat="1"/>
    <xf numFmtId="176" fontId="0" fillId="0" borderId="1" xfId="0" applyNumberFormat="1" applyBorder="1" applyAlignment="1">
      <alignment horizontal="center" vertical="center"/>
    </xf>
    <xf numFmtId="0" fontId="4" fillId="0" borderId="0" xfId="0" applyFont="1"/>
    <xf numFmtId="0" fontId="0" fillId="0" borderId="1" xfId="0" applyBorder="1"/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0" fillId="5" borderId="1" xfId="0" applyFill="1" applyBorder="1"/>
    <xf numFmtId="1" fontId="0" fillId="0" borderId="1" xfId="0" applyNumberFormat="1" applyBorder="1"/>
    <xf numFmtId="0" fontId="0" fillId="5" borderId="0" xfId="0" applyFill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7" fillId="4" borderId="0" xfId="0" applyFont="1" applyFill="1"/>
    <xf numFmtId="0" fontId="8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9" fontId="0" fillId="4" borderId="1" xfId="0" applyNumberFormat="1" applyFill="1" applyBorder="1" applyAlignment="1">
      <alignment horizontal="center"/>
    </xf>
    <xf numFmtId="0" fontId="4" fillId="9" borderId="1" xfId="0" applyFont="1" applyFill="1" applyBorder="1"/>
    <xf numFmtId="9" fontId="4" fillId="9" borderId="1" xfId="0" applyNumberFormat="1" applyFont="1" applyFill="1" applyBorder="1"/>
    <xf numFmtId="0" fontId="0" fillId="0" borderId="1" xfId="0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76" fontId="0" fillId="5" borderId="1" xfId="0" applyNumberFormat="1" applyFill="1" applyBorder="1" applyAlignment="1">
      <alignment horizontal="center" vertical="center" wrapText="1"/>
    </xf>
    <xf numFmtId="176" fontId="0" fillId="4" borderId="1" xfId="0" applyNumberFormat="1" applyFill="1" applyBorder="1" applyAlignment="1">
      <alignment horizontal="center" vertical="center" wrapText="1"/>
    </xf>
    <xf numFmtId="176" fontId="4" fillId="9" borderId="1" xfId="0" applyNumberFormat="1" applyFont="1" applyFill="1" applyBorder="1"/>
    <xf numFmtId="0" fontId="2" fillId="8" borderId="0" xfId="0" applyFont="1" applyFill="1"/>
    <xf numFmtId="176" fontId="0" fillId="5" borderId="1" xfId="0" applyNumberFormat="1" applyFill="1" applyBorder="1" applyAlignment="1">
      <alignment horizontal="center"/>
    </xf>
    <xf numFmtId="176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4" fillId="10" borderId="1" xfId="0" applyFont="1" applyFill="1" applyBorder="1" applyAlignment="1">
      <alignment horizontal="center" vertical="center" wrapText="1"/>
    </xf>
    <xf numFmtId="1" fontId="10" fillId="5" borderId="1" xfId="0" applyNumberFormat="1" applyFon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2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11" fillId="8" borderId="0" xfId="0" applyFont="1" applyFill="1" applyAlignment="1">
      <alignment vertical="center" wrapText="1"/>
    </xf>
    <xf numFmtId="0" fontId="6" fillId="0" borderId="1" xfId="0" applyFont="1" applyBorder="1" applyAlignment="1">
      <alignment vertical="center" wrapText="1"/>
    </xf>
    <xf numFmtId="176" fontId="6" fillId="5" borderId="1" xfId="0" applyNumberFormat="1" applyFont="1" applyFill="1" applyBorder="1" applyAlignment="1">
      <alignment vertical="center" wrapText="1"/>
    </xf>
    <xf numFmtId="176" fontId="6" fillId="11" borderId="1" xfId="0" applyNumberFormat="1" applyFont="1" applyFill="1" applyBorder="1" applyAlignment="1">
      <alignment vertical="center" wrapText="1"/>
    </xf>
    <xf numFmtId="0" fontId="13" fillId="12" borderId="1" xfId="0" applyFont="1" applyFill="1" applyBorder="1" applyAlignment="1">
      <alignment vertical="center" wrapText="1"/>
    </xf>
    <xf numFmtId="176" fontId="13" fillId="12" borderId="1" xfId="0" applyNumberFormat="1" applyFont="1" applyFill="1" applyBorder="1" applyAlignment="1">
      <alignment vertical="center" wrapText="1"/>
    </xf>
    <xf numFmtId="0" fontId="6" fillId="11" borderId="0" xfId="0" applyFont="1" applyFill="1" applyAlignment="1">
      <alignment vertical="center" wrapText="1"/>
    </xf>
    <xf numFmtId="0" fontId="6" fillId="0" borderId="0" xfId="0" applyFont="1"/>
    <xf numFmtId="0" fontId="2" fillId="7" borderId="0" xfId="0" applyNumberFormat="1" applyFont="1" applyFill="1" applyBorder="1" applyAlignment="1">
      <alignment horizontal="left" vertical="center"/>
    </xf>
    <xf numFmtId="0" fontId="2" fillId="13" borderId="0" xfId="0" applyNumberFormat="1" applyFont="1" applyFill="1" applyBorder="1" applyAlignment="1">
      <alignment horizontal="left" vertical="center"/>
    </xf>
    <xf numFmtId="0" fontId="0" fillId="14" borderId="1" xfId="0" applyNumberFormat="1" applyFont="1" applyFill="1" applyBorder="1" applyAlignment="1">
      <alignment horizontal="center" vertical="center" wrapText="1"/>
    </xf>
    <xf numFmtId="0" fontId="0" fillId="4" borderId="1" xfId="0" applyNumberFormat="1" applyFont="1" applyFill="1" applyBorder="1" applyAlignment="1">
      <alignment vertical="center" wrapText="1"/>
    </xf>
    <xf numFmtId="0" fontId="0" fillId="5" borderId="1" xfId="0" applyNumberFormat="1" applyFont="1" applyFill="1" applyBorder="1" applyAlignment="1">
      <alignment vertical="center" wrapText="1"/>
    </xf>
    <xf numFmtId="176" fontId="0" fillId="5" borderId="1" xfId="0" applyNumberFormat="1" applyFont="1" applyFill="1" applyBorder="1" applyAlignment="1">
      <alignment vertical="center" wrapText="1"/>
    </xf>
    <xf numFmtId="0" fontId="2" fillId="6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10" borderId="5" xfId="0" applyNumberFormat="1" applyFont="1" applyFill="1" applyBorder="1" applyAlignment="1">
      <alignment horizontal="center" vertical="center" wrapText="1"/>
    </xf>
    <xf numFmtId="0" fontId="0" fillId="4" borderId="5" xfId="0" applyNumberFormat="1" applyFont="1" applyFill="1" applyBorder="1" applyAlignment="1">
      <alignment horizontal="center" vertical="center" wrapText="1"/>
    </xf>
    <xf numFmtId="176" fontId="0" fillId="4" borderId="5" xfId="0" applyNumberFormat="1" applyFont="1" applyFill="1" applyBorder="1" applyAlignment="1">
      <alignment horizontal="right" vertical="center" wrapText="1"/>
    </xf>
    <xf numFmtId="176" fontId="0" fillId="5" borderId="5" xfId="0" applyNumberFormat="1" applyFont="1" applyFill="1" applyBorder="1" applyAlignment="1">
      <alignment horizontal="right" vertical="center" wrapText="1"/>
    </xf>
    <xf numFmtId="0" fontId="0" fillId="10" borderId="1" xfId="0" applyNumberFormat="1" applyFont="1" applyFill="1" applyBorder="1" applyAlignment="1">
      <alignment horizontal="center" vertical="center" wrapText="1"/>
    </xf>
    <xf numFmtId="0" fontId="0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right" vertical="center" wrapText="1"/>
    </xf>
    <xf numFmtId="176" fontId="0" fillId="5" borderId="1" xfId="0" applyNumberFormat="1" applyFont="1" applyFill="1" applyBorder="1" applyAlignment="1">
      <alignment horizontal="right" vertical="center" wrapText="1"/>
    </xf>
    <xf numFmtId="0" fontId="2" fillId="13" borderId="0" xfId="0" applyNumberFormat="1" applyFont="1" applyFill="1" applyBorder="1" applyAlignment="1">
      <alignment horizontal="left" vertical="center" wrapText="1"/>
    </xf>
    <xf numFmtId="0" fontId="0" fillId="9" borderId="1" xfId="0" applyNumberFormat="1" applyFont="1" applyFill="1" applyBorder="1" applyAlignment="1">
      <alignment vertical="center" wrapText="1"/>
    </xf>
    <xf numFmtId="1" fontId="0" fillId="9" borderId="1" xfId="0" applyNumberFormat="1" applyFont="1" applyFill="1" applyBorder="1" applyAlignment="1">
      <alignment vertical="center" wrapText="1"/>
    </xf>
    <xf numFmtId="176" fontId="0" fillId="9" borderId="1" xfId="0" applyNumberFormat="1" applyFont="1" applyFill="1" applyBorder="1" applyAlignment="1">
      <alignment vertical="center" wrapText="1"/>
    </xf>
    <xf numFmtId="0" fontId="0" fillId="15" borderId="1" xfId="0" applyNumberFormat="1" applyFont="1" applyFill="1" applyBorder="1" applyAlignment="1">
      <alignment vertical="center" wrapText="1"/>
    </xf>
    <xf numFmtId="0" fontId="7" fillId="15" borderId="6" xfId="0" applyNumberFormat="1" applyFont="1" applyFill="1" applyBorder="1" applyAlignment="1">
      <alignment vertical="center" wrapText="1"/>
    </xf>
    <xf numFmtId="1" fontId="7" fillId="15" borderId="6" xfId="0" applyNumberFormat="1" applyFont="1" applyFill="1" applyBorder="1" applyAlignment="1">
      <alignment vertical="center" wrapText="1"/>
    </xf>
    <xf numFmtId="176" fontId="7" fillId="15" borderId="6" xfId="0" applyNumberFormat="1" applyFont="1" applyFill="1" applyBorder="1" applyAlignment="1">
      <alignment vertical="center" wrapText="1"/>
    </xf>
    <xf numFmtId="0" fontId="14" fillId="16" borderId="0" xfId="0" applyNumberFormat="1" applyFont="1" applyFill="1" applyBorder="1" applyAlignment="1">
      <alignment horizontal="left" vertical="center" wrapText="1"/>
    </xf>
    <xf numFmtId="0" fontId="14" fillId="17" borderId="0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176" fontId="6" fillId="0" borderId="1" xfId="0" applyNumberFormat="1" applyFont="1" applyBorder="1" applyAlignment="1">
      <alignment vertical="center" wrapText="1"/>
    </xf>
    <xf numFmtId="1" fontId="6" fillId="5" borderId="1" xfId="0" applyNumberFormat="1" applyFont="1" applyFill="1" applyBorder="1" applyAlignment="1">
      <alignment vertical="center" wrapText="1"/>
    </xf>
    <xf numFmtId="9" fontId="6" fillId="5" borderId="1" xfId="0" applyNumberFormat="1" applyFont="1" applyFill="1" applyBorder="1" applyAlignment="1">
      <alignment vertical="center" wrapText="1"/>
    </xf>
    <xf numFmtId="0" fontId="15" fillId="8" borderId="0" xfId="0" applyFont="1" applyFill="1" applyAlignment="1">
      <alignment horizontal="left" vertical="center"/>
    </xf>
    <xf numFmtId="0" fontId="15" fillId="6" borderId="0" xfId="0" applyFont="1" applyFill="1" applyAlignment="1">
      <alignment horizontal="center" vertical="center" wrapText="1"/>
    </xf>
    <xf numFmtId="0" fontId="16" fillId="17" borderId="1" xfId="0" applyNumberFormat="1" applyFont="1" applyFill="1" applyBorder="1" applyAlignment="1">
      <alignment vertical="center"/>
    </xf>
    <xf numFmtId="0" fontId="17" fillId="9" borderId="1" xfId="0" applyNumberFormat="1" applyFont="1" applyFill="1" applyBorder="1" applyAlignment="1">
      <alignment vertical="center"/>
    </xf>
    <xf numFmtId="9" fontId="16" fillId="5" borderId="1" xfId="0" applyNumberFormat="1" applyFont="1" applyFill="1" applyBorder="1" applyAlignment="1">
      <alignment vertical="center"/>
    </xf>
    <xf numFmtId="9" fontId="16" fillId="0" borderId="1" xfId="0" applyNumberFormat="1" applyFont="1" applyBorder="1" applyAlignment="1">
      <alignment vertical="center"/>
    </xf>
    <xf numFmtId="0" fontId="16" fillId="4" borderId="1" xfId="0" applyNumberFormat="1" applyFont="1" applyFill="1" applyBorder="1" applyAlignment="1">
      <alignment vertical="center"/>
    </xf>
    <xf numFmtId="0" fontId="16" fillId="0" borderId="1" xfId="0" applyNumberFormat="1" applyFont="1" applyBorder="1" applyAlignment="1">
      <alignment vertical="center"/>
    </xf>
    <xf numFmtId="176" fontId="16" fillId="5" borderId="1" xfId="0" applyNumberFormat="1" applyFont="1" applyFill="1" applyBorder="1" applyAlignment="1">
      <alignment vertical="center"/>
    </xf>
    <xf numFmtId="176" fontId="16" fillId="0" borderId="1" xfId="0" applyNumberFormat="1" applyFont="1" applyBorder="1" applyAlignment="1">
      <alignment vertical="center"/>
    </xf>
    <xf numFmtId="1" fontId="16" fillId="0" borderId="1" xfId="0" applyNumberFormat="1" applyFont="1" applyBorder="1" applyAlignment="1">
      <alignment vertical="center"/>
    </xf>
    <xf numFmtId="0" fontId="16" fillId="11" borderId="1" xfId="0" applyNumberFormat="1" applyFont="1" applyFill="1" applyBorder="1" applyAlignment="1">
      <alignment vertical="center"/>
    </xf>
    <xf numFmtId="0" fontId="16" fillId="5" borderId="1" xfId="0" applyNumberFormat="1" applyFont="1" applyFill="1" applyBorder="1" applyAlignment="1">
      <alignment vertical="center"/>
    </xf>
    <xf numFmtId="0" fontId="18" fillId="0" borderId="0" xfId="0" applyFont="1"/>
    <xf numFmtId="0" fontId="15" fillId="8" borderId="0" xfId="0" applyFont="1" applyFill="1" applyAlignment="1">
      <alignment horizontal="left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1" xfId="0" applyFont="1" applyBorder="1" applyAlignment="1">
      <alignment vertical="center" wrapText="1"/>
    </xf>
    <xf numFmtId="176" fontId="16" fillId="5" borderId="1" xfId="0" applyNumberFormat="1" applyFont="1" applyFill="1" applyBorder="1" applyAlignment="1">
      <alignment vertical="center" wrapText="1"/>
    </xf>
    <xf numFmtId="176" fontId="16" fillId="9" borderId="1" xfId="0" applyNumberFormat="1" applyFont="1" applyFill="1" applyBorder="1" applyAlignment="1">
      <alignment vertical="center" wrapText="1"/>
    </xf>
    <xf numFmtId="1" fontId="16" fillId="5" borderId="1" xfId="0" applyNumberFormat="1" applyFont="1" applyFill="1" applyBorder="1" applyAlignment="1">
      <alignment vertical="center" wrapText="1"/>
    </xf>
    <xf numFmtId="1" fontId="16" fillId="9" borderId="1" xfId="0" applyNumberFormat="1" applyFont="1" applyFill="1" applyBorder="1" applyAlignment="1">
      <alignment vertical="center" wrapText="1"/>
    </xf>
    <xf numFmtId="0" fontId="16" fillId="17" borderId="0" xfId="0" applyFont="1" applyFill="1" applyAlignment="1">
      <alignment horizontal="left" vertical="center"/>
    </xf>
    <xf numFmtId="0" fontId="16" fillId="0" borderId="0" xfId="0" applyFont="1" applyAlignment="1">
      <alignment wrapText="1"/>
    </xf>
    <xf numFmtId="9" fontId="6" fillId="0" borderId="1" xfId="0" applyNumberFormat="1" applyFont="1" applyBorder="1" applyAlignment="1">
      <alignment vertical="center" wrapText="1"/>
    </xf>
    <xf numFmtId="176" fontId="6" fillId="4" borderId="1" xfId="0" applyNumberFormat="1" applyFont="1" applyFill="1" applyBorder="1" applyAlignment="1">
      <alignment vertical="center" wrapText="1"/>
    </xf>
    <xf numFmtId="0" fontId="6" fillId="18" borderId="1" xfId="0" applyFont="1" applyFill="1" applyBorder="1" applyAlignment="1">
      <alignment vertical="center" wrapText="1"/>
    </xf>
    <xf numFmtId="176" fontId="6" fillId="18" borderId="1" xfId="0" applyNumberFormat="1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/>
    </xf>
    <xf numFmtId="9" fontId="0" fillId="4" borderId="1" xfId="0" applyNumberFormat="1" applyFill="1" applyBorder="1" applyAlignment="1">
      <alignment horizontal="center" vertical="center" wrapText="1"/>
    </xf>
    <xf numFmtId="0" fontId="3" fillId="8" borderId="0" xfId="0" applyFont="1" applyFill="1" applyAlignment="1">
      <alignment horizontal="left" vertical="center" wrapText="1"/>
    </xf>
    <xf numFmtId="0" fontId="20" fillId="0" borderId="0" xfId="0" applyFont="1" applyAlignment="1">
      <alignment wrapText="1"/>
    </xf>
    <xf numFmtId="1" fontId="6" fillId="4" borderId="1" xfId="0" applyNumberFormat="1" applyFont="1" applyFill="1" applyBorder="1" applyAlignment="1">
      <alignment vertical="center" wrapText="1"/>
    </xf>
    <xf numFmtId="0" fontId="5" fillId="6" borderId="0" xfId="0" applyFont="1" applyFill="1" applyAlignment="1">
      <alignment vertical="center" wrapText="1"/>
    </xf>
    <xf numFmtId="177" fontId="6" fillId="4" borderId="1" xfId="0" applyNumberFormat="1" applyFont="1" applyFill="1" applyBorder="1" applyAlignment="1">
      <alignment vertical="center" wrapText="1"/>
    </xf>
    <xf numFmtId="178" fontId="6" fillId="5" borderId="1" xfId="0" applyNumberFormat="1" applyFont="1" applyFill="1" applyBorder="1" applyAlignment="1">
      <alignment vertical="center" wrapText="1"/>
    </xf>
    <xf numFmtId="1" fontId="6" fillId="0" borderId="1" xfId="0" applyNumberFormat="1" applyFont="1" applyBorder="1" applyAlignment="1">
      <alignment vertical="center" wrapText="1"/>
    </xf>
    <xf numFmtId="1" fontId="6" fillId="9" borderId="1" xfId="0" applyNumberFormat="1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1" fontId="13" fillId="12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体重变化趋势</a:t>
            </a:r>
            <a:endParaRPr sz="1800" b="1" i="0" u="none">
              <a:solidFill>
                <a:schemeClr val="tx1"/>
              </a:solidFill>
              <a:latin typeface="+mn-lt"/>
              <a:ea typeface="+mn-lt"/>
              <a:cs typeface="+mn-lt"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体重趋势!$C$3</c:f>
              <c:strCache>
                <c:ptCount val="1"/>
                <c:pt idx="0">
                  <c:v>体重(kg)</c:v>
                </c:pt>
              </c:strCache>
            </c:strRef>
          </c:tx>
          <c:spPr>
            <a:ln w="28575" cap="rnd" cmpd="sng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体重趋势!$A$4:$A$15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体重趋势!$C$4:$C$15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周次</a:t>
                </a:r>
                <a:endPara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体重（kg）</a:t>
                </a:r>
                <a:endPara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3d26e4-ddaa-4bd4-8594-af22367e584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腰围变化趋势</a:t>
            </a:r>
            <a:endParaRPr sz="1800" b="1" i="0" u="none">
              <a:solidFill>
                <a:schemeClr val="tx1"/>
              </a:solidFill>
              <a:latin typeface="+mn-lt"/>
              <a:ea typeface="+mn-lt"/>
              <a:cs typeface="+mn-lt"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体重趋势!$D$3</c:f>
              <c:strCache>
                <c:ptCount val="1"/>
                <c:pt idx="0">
                  <c:v>腰围(cm)</c:v>
                </c:pt>
              </c:strCache>
            </c:strRef>
          </c:tx>
          <c:spPr>
            <a:ln w="28575" cap="rnd" cmpd="sng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体重趋势!$A$4:$A$15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体重趋势!$D$4:$D$15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周次</a:t>
                </a:r>
                <a:endPara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腰围（cm）</a:t>
                </a:r>
                <a:endPara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fdacbf-7c14-4db1-a36c-314ca6defb6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2</xdr:row>
      <xdr:rowOff>0</xdr:rowOff>
    </xdr:from>
    <xdr:ext cx="5760000" cy="2594250"/>
    <xdr:graphicFrame>
      <xdr:nvGraphicFramePr>
        <xdr:cNvPr id="2" name="Chart"/>
        <xdr:cNvGraphicFramePr/>
      </xdr:nvGraphicFramePr>
      <xdr:xfrm>
        <a:off x="7893050" y="577850"/>
        <a:ext cx="5759450" cy="259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5760000" cy="2594250"/>
    <xdr:graphicFrame>
      <xdr:nvGraphicFramePr>
        <xdr:cNvPr id="3" name="Chart"/>
        <xdr:cNvGraphicFramePr/>
      </xdr:nvGraphicFramePr>
      <xdr:xfrm>
        <a:off x="7893050" y="3492500"/>
        <a:ext cx="5759450" cy="259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3F7A"/>
  </sheetPr>
  <dimension ref="A1:M55"/>
  <sheetViews>
    <sheetView showGridLines="0" workbookViewId="0">
      <selection activeCell="A1" sqref="A1:M1"/>
    </sheetView>
  </sheetViews>
  <sheetFormatPr defaultColWidth="9" defaultRowHeight="13.5"/>
  <cols>
    <col min="1" max="1" width="18.6371681415929" customWidth="1"/>
    <col min="2" max="2" width="18.2743362831858" customWidth="1"/>
    <col min="3" max="3" width="24.1681415929204" customWidth="1"/>
    <col min="4" max="4" width="11.6371681415929" customWidth="1"/>
    <col min="5" max="5" width="13.6371681415929" customWidth="1"/>
    <col min="6" max="6" width="14.6371681415929" customWidth="1"/>
    <col min="7" max="9" width="12.6371681415929" customWidth="1"/>
    <col min="10" max="10" width="14.6371681415929" customWidth="1"/>
    <col min="11" max="12" width="13.6371681415929" customWidth="1"/>
    <col min="13" max="13" width="23.6371681415929" customWidth="1"/>
  </cols>
  <sheetData>
    <row r="1" ht="34" customHeight="1" spans="1:13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ht="13.85" spans="1:13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ht="15.75" spans="1:13">
      <c r="A3" s="57" t="s">
        <v>1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</row>
    <row r="4" ht="28" customHeight="1" spans="1:13">
      <c r="A4" s="58" t="s">
        <v>2</v>
      </c>
      <c r="B4" s="121">
        <v>85</v>
      </c>
      <c r="C4" s="58" t="s">
        <v>3</v>
      </c>
      <c r="D4" s="56"/>
      <c r="E4" s="56"/>
      <c r="F4" s="56"/>
      <c r="G4" s="56"/>
      <c r="H4" s="56"/>
      <c r="I4" s="56"/>
      <c r="J4" s="56"/>
      <c r="K4" s="56"/>
      <c r="L4" s="56"/>
      <c r="M4" s="56"/>
    </row>
    <row r="5" ht="28" customHeight="1" spans="1:13">
      <c r="A5" s="58" t="s">
        <v>4</v>
      </c>
      <c r="B5" s="121">
        <v>2</v>
      </c>
      <c r="C5" s="58" t="s">
        <v>5</v>
      </c>
      <c r="D5" s="56"/>
      <c r="E5" s="56"/>
      <c r="F5" s="56"/>
      <c r="G5" s="56"/>
      <c r="H5" s="56"/>
      <c r="I5" s="56"/>
      <c r="J5" s="56"/>
      <c r="K5" s="56"/>
      <c r="L5" s="56"/>
      <c r="M5" s="56"/>
    </row>
    <row r="6" ht="28" customHeight="1" spans="1:13">
      <c r="A6" s="58" t="s">
        <v>6</v>
      </c>
      <c r="B6" s="121">
        <v>1.4</v>
      </c>
      <c r="C6" s="58" t="s">
        <v>7</v>
      </c>
      <c r="D6" s="56"/>
      <c r="E6" s="56"/>
      <c r="F6" s="56"/>
      <c r="G6" s="56"/>
      <c r="H6" s="56"/>
      <c r="I6" s="56"/>
      <c r="J6" s="56"/>
      <c r="K6" s="56"/>
      <c r="L6" s="56"/>
      <c r="M6" s="56"/>
    </row>
    <row r="7" ht="28" customHeight="1" spans="1:13">
      <c r="A7" s="58" t="s">
        <v>8</v>
      </c>
      <c r="B7" s="121">
        <v>0.8</v>
      </c>
      <c r="C7" s="58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</row>
    <row r="8" ht="28" customHeight="1" spans="1:13">
      <c r="A8" s="58" t="s">
        <v>10</v>
      </c>
      <c r="B8" s="121">
        <f>B4*(B5*4+B6*4+B7*9)</f>
        <v>1768</v>
      </c>
      <c r="C8" s="58" t="s">
        <v>11</v>
      </c>
      <c r="D8" s="56"/>
      <c r="E8" s="56"/>
      <c r="F8" s="56"/>
      <c r="G8" s="56"/>
      <c r="H8" s="56"/>
      <c r="I8" s="56"/>
      <c r="J8" s="56"/>
      <c r="K8" s="56"/>
      <c r="L8" s="56"/>
      <c r="M8" s="56"/>
    </row>
    <row r="9" ht="28" customHeight="1" spans="1:13">
      <c r="A9" s="58" t="s">
        <v>12</v>
      </c>
      <c r="B9" s="128">
        <v>7</v>
      </c>
      <c r="C9" s="58" t="s">
        <v>13</v>
      </c>
      <c r="D9" s="56"/>
      <c r="E9" s="56"/>
      <c r="F9" s="56"/>
      <c r="G9" s="56"/>
      <c r="H9" s="56"/>
      <c r="I9" s="56"/>
      <c r="J9" s="56"/>
      <c r="K9" s="56"/>
      <c r="L9" s="56"/>
      <c r="M9" s="56"/>
    </row>
    <row r="10" ht="13.85" spans="1:13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</row>
    <row r="11" ht="15.75" spans="1:13">
      <c r="A11" s="57" t="s">
        <v>14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</row>
    <row r="12" ht="32" customHeight="1" spans="1:13">
      <c r="A12" s="16" t="s">
        <v>15</v>
      </c>
      <c r="B12" s="16" t="s">
        <v>16</v>
      </c>
      <c r="C12" s="16" t="s">
        <v>17</v>
      </c>
      <c r="D12" s="16" t="s">
        <v>18</v>
      </c>
      <c r="E12" s="16" t="s">
        <v>19</v>
      </c>
      <c r="F12" s="16" t="s">
        <v>20</v>
      </c>
      <c r="G12" s="16" t="s">
        <v>21</v>
      </c>
      <c r="H12" s="16" t="s">
        <v>22</v>
      </c>
      <c r="I12" s="16" t="s">
        <v>23</v>
      </c>
      <c r="J12" s="129" t="s">
        <v>24</v>
      </c>
      <c r="K12" s="129"/>
      <c r="L12" s="129"/>
      <c r="M12" s="129"/>
    </row>
    <row r="13" ht="13.9" spans="1:13">
      <c r="A13" s="58" t="s">
        <v>25</v>
      </c>
      <c r="B13" s="58">
        <f>COUNTIFS($A$20:$A$50,"&lt;="&amp;$B$9,$C$20:$C$50,A13)</f>
        <v>2</v>
      </c>
      <c r="C13" s="130">
        <v>1.6</v>
      </c>
      <c r="D13" s="131">
        <f>IF(SUMPRODUCT($B$13:$B$15,$C$13:$C$15)=0,0,B13*C13/SUMPRODUCT($B$13:$B$15,$C$13:$C$15))</f>
        <v>0.450704225352113</v>
      </c>
      <c r="E13" s="59">
        <f>$B$4*$B$5*$B$9*D13</f>
        <v>536.338028169014</v>
      </c>
      <c r="F13" s="59">
        <f>IF(B13=0,0,E13/B13)</f>
        <v>268.169014084507</v>
      </c>
      <c r="G13" s="59">
        <f>IF($B$4=0,0,F13/$B$4)</f>
        <v>3.15492957746479</v>
      </c>
      <c r="H13" s="59">
        <f>MAX(0,($B$8-F13*4-$B$4*$B$6*4)/9)</f>
        <v>24.3693270735524</v>
      </c>
      <c r="I13" s="92" t="str">
        <f>IF(B13=0,"未使用",IF(C13&lt;=0,"权重需大于0",IF(H13=0,"脂肪为0：提高热量","正常")))</f>
        <v>正常</v>
      </c>
      <c r="J13" s="58" t="s">
        <v>26</v>
      </c>
      <c r="K13" s="94">
        <f>SUM(G20:G50)</f>
        <v>1190</v>
      </c>
      <c r="L13" s="132" t="s">
        <v>27</v>
      </c>
      <c r="M13" s="133">
        <f>IF($B$9=0,0,K16/$B$9)</f>
        <v>1768</v>
      </c>
    </row>
    <row r="14" ht="13.9" spans="1:13">
      <c r="A14" s="58" t="s">
        <v>28</v>
      </c>
      <c r="B14" s="58">
        <f>COUNTIFS($A$20:$A$50,"&lt;="&amp;$B$9,$C$20:$C$50,A14)</f>
        <v>3</v>
      </c>
      <c r="C14" s="130">
        <v>0.9</v>
      </c>
      <c r="D14" s="131">
        <f>IF(SUMPRODUCT($B$13:$B$15,$C$13:$C$15)=0,0,B14*C14/SUMPRODUCT($B$13:$B$15,$C$13:$C$15))</f>
        <v>0.380281690140845</v>
      </c>
      <c r="E14" s="59">
        <f>$B$4*$B$5*$B$9*D14</f>
        <v>452.535211267606</v>
      </c>
      <c r="F14" s="59">
        <f>IF(B14=0,0,E14/B14)</f>
        <v>150.845070422535</v>
      </c>
      <c r="G14" s="59">
        <f>IF($B$4=0,0,F14/$B$4)</f>
        <v>1.77464788732394</v>
      </c>
      <c r="H14" s="59">
        <f>MAX(0,($B$8-F14*4-$B$4*$B$6*4)/9)</f>
        <v>76.5133020344288</v>
      </c>
      <c r="I14" s="92" t="str">
        <f>IF(B14=0,"未使用",IF(C14&lt;=0,"权重需大于0",IF(H14=0,"脂肪为0：提高热量","正常")))</f>
        <v>正常</v>
      </c>
      <c r="J14" s="58" t="s">
        <v>29</v>
      </c>
      <c r="K14" s="94">
        <f>SUM(H20:H50)</f>
        <v>833</v>
      </c>
      <c r="L14" s="132" t="s">
        <v>30</v>
      </c>
      <c r="M14" s="133">
        <f>COUNTIFS($A$20:$A$50,"&lt;="&amp;$B$9,$D$20:$D$50,"是")</f>
        <v>4</v>
      </c>
    </row>
    <row r="15" ht="13.9" spans="1:13">
      <c r="A15" s="58" t="s">
        <v>31</v>
      </c>
      <c r="B15" s="58">
        <f>COUNTIFS($A$20:$A$50,"&lt;="&amp;$B$9,$C$20:$C$50,A15)</f>
        <v>2</v>
      </c>
      <c r="C15" s="130">
        <v>0.6</v>
      </c>
      <c r="D15" s="131">
        <f>IF(SUMPRODUCT($B$13:$B$15,$C$13:$C$15)=0,0,B15*C15/SUMPRODUCT($B$13:$B$15,$C$13:$C$15))</f>
        <v>0.169014084507042</v>
      </c>
      <c r="E15" s="59">
        <f>$B$4*$B$5*$B$9*D15</f>
        <v>201.12676056338</v>
      </c>
      <c r="F15" s="59">
        <f>IF(B15=0,0,E15/B15)</f>
        <v>100.56338028169</v>
      </c>
      <c r="G15" s="59">
        <f>IF($B$4=0,0,F15/$B$4)</f>
        <v>1.1830985915493</v>
      </c>
      <c r="H15" s="59">
        <f>MAX(0,($B$8-F15*4-$B$4*$B$6*4)/9)</f>
        <v>98.8607198748044</v>
      </c>
      <c r="I15" s="92" t="str">
        <f>IF(B15=0,"未使用",IF(C15&lt;=0,"权重需大于0",IF(H15=0,"脂肪为0：提高热量","正常")))</f>
        <v>正常</v>
      </c>
      <c r="J15" s="58" t="s">
        <v>32</v>
      </c>
      <c r="K15" s="94">
        <f>SUM(I20:I50)</f>
        <v>476</v>
      </c>
      <c r="L15" s="132" t="s">
        <v>33</v>
      </c>
      <c r="M15" s="133">
        <f>COUNTIFS($A$20:$A$50,"&lt;="&amp;$B$9,$D$20:$D$50,"否")</f>
        <v>3</v>
      </c>
    </row>
    <row r="16" ht="13.9" spans="1:13">
      <c r="A16" s="58" t="s">
        <v>34</v>
      </c>
      <c r="B16" s="134" t="str">
        <f>IF(SUMPRODUCT(B13:B15,C13:C15)&gt;0,"通过","需设置有效权重")</f>
        <v>通过</v>
      </c>
      <c r="C16" s="58"/>
      <c r="D16" s="58" t="s">
        <v>35</v>
      </c>
      <c r="E16" s="92">
        <f>COUNTIFS($A$20:$A$50,"&lt;="&amp;$B$9,$C$20:$C$50,"&lt;&gt;")</f>
        <v>7</v>
      </c>
      <c r="F16" s="92" t="s">
        <v>36</v>
      </c>
      <c r="G16" s="92">
        <f>$B$9</f>
        <v>7</v>
      </c>
      <c r="H16" s="92" t="s">
        <v>37</v>
      </c>
      <c r="I16" s="92" t="str">
        <f>IF(E16=G16,"通过","有未配置日")</f>
        <v>通过</v>
      </c>
      <c r="J16" s="58" t="s">
        <v>38</v>
      </c>
      <c r="K16" s="94">
        <f>SUM(J20:J50)</f>
        <v>12376</v>
      </c>
      <c r="L16" s="132" t="s">
        <v>39</v>
      </c>
      <c r="M16" s="133" t="str">
        <f>IF(AND(B16="通过",I16="通过"),"可用","请检查")</f>
        <v>可用</v>
      </c>
    </row>
    <row r="17" ht="13.85" spans="1:13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</row>
    <row r="18" ht="15.75" spans="1:13">
      <c r="A18" s="57" t="s">
        <v>40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</row>
    <row r="19" ht="38" customHeight="1" spans="1:13">
      <c r="A19" s="16" t="s">
        <v>41</v>
      </c>
      <c r="B19" s="16" t="s">
        <v>42</v>
      </c>
      <c r="C19" s="16" t="s">
        <v>43</v>
      </c>
      <c r="D19" s="16" t="s">
        <v>44</v>
      </c>
      <c r="E19" s="16" t="s">
        <v>45</v>
      </c>
      <c r="F19" s="16" t="s">
        <v>46</v>
      </c>
      <c r="G19" s="16" t="s">
        <v>47</v>
      </c>
      <c r="H19" s="16" t="s">
        <v>48</v>
      </c>
      <c r="I19" s="16" t="s">
        <v>49</v>
      </c>
      <c r="J19" s="16" t="s">
        <v>50</v>
      </c>
      <c r="K19" s="16" t="s">
        <v>21</v>
      </c>
      <c r="L19" s="16" t="s">
        <v>51</v>
      </c>
      <c r="M19" s="16" t="s">
        <v>23</v>
      </c>
    </row>
    <row r="20" ht="13.9" spans="1:13">
      <c r="A20" s="58">
        <v>1</v>
      </c>
      <c r="B20" s="58" t="str">
        <f t="shared" ref="B20:B50" si="0">IF(A20&lt;=$B$9,"第"&amp;A20&amp;"天","未启用")</f>
        <v>第1天</v>
      </c>
      <c r="C20" s="91" t="s">
        <v>28</v>
      </c>
      <c r="D20" s="91" t="s">
        <v>52</v>
      </c>
      <c r="E20" s="91" t="s">
        <v>53</v>
      </c>
      <c r="F20" s="92" t="str">
        <f t="shared" ref="F20:F50" si="1">IF(A20&gt;$B$9,"",IF(D20="是","训练日模板",IF(D20="否","休息日模板","待设置")))</f>
        <v>训练日模板</v>
      </c>
      <c r="G20" s="59">
        <f t="shared" ref="G20:G50" si="2">IF(A20&gt;$B$9,"",IFERROR(INDEX($F$13:$F$15,MATCH(C20,$A$13:$A$15,0)),""))</f>
        <v>150.845070422535</v>
      </c>
      <c r="H20" s="59">
        <f t="shared" ref="H20:H50" si="3">IF(A20&gt;$B$9,"",$B$4*$B$6)</f>
        <v>119</v>
      </c>
      <c r="I20" s="59">
        <f t="shared" ref="I20:I50" si="4">IF(A20&gt;$B$9,"",IFERROR(INDEX($H$13:$H$15,MATCH(C20,$A$13:$A$15,0)),""))</f>
        <v>76.5133020344288</v>
      </c>
      <c r="J20" s="94">
        <f t="shared" ref="J20:J50" si="5">IF(A20&gt;$B$9,"",IF(OR(G20="",H20="",I20=""),"",G20*4+H20*4+I20*9))</f>
        <v>1768</v>
      </c>
      <c r="K20" s="59">
        <f t="shared" ref="K20:K50" si="6">IF(OR(A20&gt;$B$9,$B$4=0),"",G20/$B$4)</f>
        <v>1.77464788732394</v>
      </c>
      <c r="L20" s="59">
        <f t="shared" ref="L20:L50" si="7">IF(OR(A20&gt;$B$9,$B$4=0),"",I20/$B$4)</f>
        <v>0.900156494522692</v>
      </c>
      <c r="M20" s="92" t="str">
        <f t="shared" ref="M20:M50" si="8">IF(A20&gt;$B$9,"未启用",IF(C20="","需设置碳类型",IF(AND(D20&lt;&gt;"是",D20&lt;&gt;"否"),"需设置训练",IF(AND(D20="是",OR(E20="",E20="-")),"请填训练时间",IF(AND(D20="否",E20&lt;&gt;"-"),"休息日时间应为-",IF(I20=0,"脂肪为0：提高热量","正常"))))))</f>
        <v>正常</v>
      </c>
    </row>
    <row r="21" ht="13.9" spans="1:13">
      <c r="A21" s="58">
        <v>2</v>
      </c>
      <c r="B21" s="58" t="str">
        <f t="shared" si="0"/>
        <v>第2天</v>
      </c>
      <c r="C21" s="91" t="s">
        <v>31</v>
      </c>
      <c r="D21" s="91" t="s">
        <v>54</v>
      </c>
      <c r="E21" s="91" t="s">
        <v>55</v>
      </c>
      <c r="F21" s="92" t="str">
        <f t="shared" si="1"/>
        <v>休息日模板</v>
      </c>
      <c r="G21" s="59">
        <f t="shared" si="2"/>
        <v>100.56338028169</v>
      </c>
      <c r="H21" s="59">
        <f t="shared" si="3"/>
        <v>119</v>
      </c>
      <c r="I21" s="59">
        <f t="shared" si="4"/>
        <v>98.8607198748044</v>
      </c>
      <c r="J21" s="94">
        <f t="shared" si="5"/>
        <v>1768</v>
      </c>
      <c r="K21" s="59">
        <f t="shared" si="6"/>
        <v>1.1830985915493</v>
      </c>
      <c r="L21" s="59">
        <f t="shared" si="7"/>
        <v>1.16306729264476</v>
      </c>
      <c r="M21" s="92" t="str">
        <f t="shared" si="8"/>
        <v>正常</v>
      </c>
    </row>
    <row r="22" ht="13.9" spans="1:13">
      <c r="A22" s="58">
        <v>3</v>
      </c>
      <c r="B22" s="58" t="str">
        <f t="shared" si="0"/>
        <v>第3天</v>
      </c>
      <c r="C22" s="91" t="s">
        <v>28</v>
      </c>
      <c r="D22" s="91" t="s">
        <v>52</v>
      </c>
      <c r="E22" s="91" t="s">
        <v>53</v>
      </c>
      <c r="F22" s="92" t="str">
        <f t="shared" si="1"/>
        <v>训练日模板</v>
      </c>
      <c r="G22" s="59">
        <f t="shared" si="2"/>
        <v>150.845070422535</v>
      </c>
      <c r="H22" s="59">
        <f t="shared" si="3"/>
        <v>119</v>
      </c>
      <c r="I22" s="59">
        <f t="shared" si="4"/>
        <v>76.5133020344288</v>
      </c>
      <c r="J22" s="94">
        <f t="shared" si="5"/>
        <v>1768</v>
      </c>
      <c r="K22" s="59">
        <f t="shared" si="6"/>
        <v>1.77464788732394</v>
      </c>
      <c r="L22" s="59">
        <f t="shared" si="7"/>
        <v>0.900156494522692</v>
      </c>
      <c r="M22" s="92" t="str">
        <f t="shared" si="8"/>
        <v>正常</v>
      </c>
    </row>
    <row r="23" ht="13.9" spans="1:13">
      <c r="A23" s="58">
        <v>4</v>
      </c>
      <c r="B23" s="58" t="str">
        <f t="shared" si="0"/>
        <v>第4天</v>
      </c>
      <c r="C23" s="91" t="s">
        <v>25</v>
      </c>
      <c r="D23" s="91" t="s">
        <v>52</v>
      </c>
      <c r="E23" s="91" t="s">
        <v>53</v>
      </c>
      <c r="F23" s="92" t="str">
        <f t="shared" si="1"/>
        <v>训练日模板</v>
      </c>
      <c r="G23" s="59">
        <f t="shared" si="2"/>
        <v>268.169014084507</v>
      </c>
      <c r="H23" s="59">
        <f t="shared" si="3"/>
        <v>119</v>
      </c>
      <c r="I23" s="59">
        <f t="shared" si="4"/>
        <v>24.3693270735524</v>
      </c>
      <c r="J23" s="94">
        <f t="shared" si="5"/>
        <v>1768</v>
      </c>
      <c r="K23" s="59">
        <f t="shared" si="6"/>
        <v>3.15492957746479</v>
      </c>
      <c r="L23" s="59">
        <f t="shared" si="7"/>
        <v>0.286697965571205</v>
      </c>
      <c r="M23" s="92" t="str">
        <f t="shared" si="8"/>
        <v>正常</v>
      </c>
    </row>
    <row r="24" ht="13.9" spans="1:13">
      <c r="A24" s="58">
        <v>5</v>
      </c>
      <c r="B24" s="58" t="str">
        <f t="shared" si="0"/>
        <v>第5天</v>
      </c>
      <c r="C24" s="91" t="s">
        <v>31</v>
      </c>
      <c r="D24" s="91" t="s">
        <v>54</v>
      </c>
      <c r="E24" s="91" t="s">
        <v>55</v>
      </c>
      <c r="F24" s="92" t="str">
        <f t="shared" si="1"/>
        <v>休息日模板</v>
      </c>
      <c r="G24" s="59">
        <f t="shared" si="2"/>
        <v>100.56338028169</v>
      </c>
      <c r="H24" s="59">
        <f t="shared" si="3"/>
        <v>119</v>
      </c>
      <c r="I24" s="59">
        <f t="shared" si="4"/>
        <v>98.8607198748044</v>
      </c>
      <c r="J24" s="94">
        <f t="shared" si="5"/>
        <v>1768</v>
      </c>
      <c r="K24" s="59">
        <f t="shared" si="6"/>
        <v>1.1830985915493</v>
      </c>
      <c r="L24" s="59">
        <f t="shared" si="7"/>
        <v>1.16306729264476</v>
      </c>
      <c r="M24" s="92" t="str">
        <f t="shared" si="8"/>
        <v>正常</v>
      </c>
    </row>
    <row r="25" ht="13.9" spans="1:13">
      <c r="A25" s="58">
        <v>6</v>
      </c>
      <c r="B25" s="58" t="str">
        <f t="shared" si="0"/>
        <v>第6天</v>
      </c>
      <c r="C25" s="91" t="s">
        <v>28</v>
      </c>
      <c r="D25" s="91" t="s">
        <v>52</v>
      </c>
      <c r="E25" s="91" t="s">
        <v>53</v>
      </c>
      <c r="F25" s="92" t="str">
        <f t="shared" si="1"/>
        <v>训练日模板</v>
      </c>
      <c r="G25" s="59">
        <f t="shared" si="2"/>
        <v>150.845070422535</v>
      </c>
      <c r="H25" s="59">
        <f t="shared" si="3"/>
        <v>119</v>
      </c>
      <c r="I25" s="59">
        <f t="shared" si="4"/>
        <v>76.5133020344288</v>
      </c>
      <c r="J25" s="94">
        <f t="shared" si="5"/>
        <v>1768</v>
      </c>
      <c r="K25" s="59">
        <f t="shared" si="6"/>
        <v>1.77464788732394</v>
      </c>
      <c r="L25" s="59">
        <f t="shared" si="7"/>
        <v>0.900156494522692</v>
      </c>
      <c r="M25" s="92" t="str">
        <f t="shared" si="8"/>
        <v>正常</v>
      </c>
    </row>
    <row r="26" ht="13.9" spans="1:13">
      <c r="A26" s="58">
        <v>7</v>
      </c>
      <c r="B26" s="58" t="str">
        <f t="shared" si="0"/>
        <v>第7天</v>
      </c>
      <c r="C26" s="91" t="s">
        <v>25</v>
      </c>
      <c r="D26" s="91" t="s">
        <v>54</v>
      </c>
      <c r="E26" s="91" t="s">
        <v>55</v>
      </c>
      <c r="F26" s="92" t="str">
        <f t="shared" si="1"/>
        <v>休息日模板</v>
      </c>
      <c r="G26" s="59">
        <f t="shared" si="2"/>
        <v>268.169014084507</v>
      </c>
      <c r="H26" s="59">
        <f t="shared" si="3"/>
        <v>119</v>
      </c>
      <c r="I26" s="59">
        <f t="shared" si="4"/>
        <v>24.3693270735524</v>
      </c>
      <c r="J26" s="94">
        <f t="shared" si="5"/>
        <v>1768</v>
      </c>
      <c r="K26" s="59">
        <f t="shared" si="6"/>
        <v>3.15492957746479</v>
      </c>
      <c r="L26" s="59">
        <f t="shared" si="7"/>
        <v>0.286697965571205</v>
      </c>
      <c r="M26" s="92" t="str">
        <f t="shared" si="8"/>
        <v>正常</v>
      </c>
    </row>
    <row r="27" ht="13.9" spans="1:13">
      <c r="A27" s="58">
        <v>8</v>
      </c>
      <c r="B27" s="58" t="str">
        <f t="shared" si="0"/>
        <v>未启用</v>
      </c>
      <c r="C27" s="91" t="s">
        <v>28</v>
      </c>
      <c r="D27" s="91" t="s">
        <v>52</v>
      </c>
      <c r="E27" s="91" t="s">
        <v>53</v>
      </c>
      <c r="F27" s="92" t="str">
        <f t="shared" si="1"/>
        <v/>
      </c>
      <c r="G27" s="59" t="str">
        <f t="shared" si="2"/>
        <v/>
      </c>
      <c r="H27" s="59" t="str">
        <f t="shared" si="3"/>
        <v/>
      </c>
      <c r="I27" s="59" t="str">
        <f t="shared" si="4"/>
        <v/>
      </c>
      <c r="J27" s="94" t="str">
        <f t="shared" si="5"/>
        <v/>
      </c>
      <c r="K27" s="59" t="str">
        <f t="shared" si="6"/>
        <v/>
      </c>
      <c r="L27" s="59" t="str">
        <f t="shared" si="7"/>
        <v/>
      </c>
      <c r="M27" s="92" t="str">
        <f t="shared" si="8"/>
        <v>未启用</v>
      </c>
    </row>
    <row r="28" ht="13.9" spans="1:13">
      <c r="A28" s="58">
        <v>9</v>
      </c>
      <c r="B28" s="58" t="str">
        <f t="shared" si="0"/>
        <v>未启用</v>
      </c>
      <c r="C28" s="91" t="s">
        <v>31</v>
      </c>
      <c r="D28" s="91" t="s">
        <v>54</v>
      </c>
      <c r="E28" s="91" t="s">
        <v>55</v>
      </c>
      <c r="F28" s="92" t="str">
        <f t="shared" si="1"/>
        <v/>
      </c>
      <c r="G28" s="59" t="str">
        <f t="shared" si="2"/>
        <v/>
      </c>
      <c r="H28" s="59" t="str">
        <f t="shared" si="3"/>
        <v/>
      </c>
      <c r="I28" s="59" t="str">
        <f t="shared" si="4"/>
        <v/>
      </c>
      <c r="J28" s="94" t="str">
        <f t="shared" si="5"/>
        <v/>
      </c>
      <c r="K28" s="59" t="str">
        <f t="shared" si="6"/>
        <v/>
      </c>
      <c r="L28" s="59" t="str">
        <f t="shared" si="7"/>
        <v/>
      </c>
      <c r="M28" s="92" t="str">
        <f t="shared" si="8"/>
        <v>未启用</v>
      </c>
    </row>
    <row r="29" ht="13.9" spans="1:13">
      <c r="A29" s="58">
        <v>10</v>
      </c>
      <c r="B29" s="58" t="str">
        <f t="shared" si="0"/>
        <v>未启用</v>
      </c>
      <c r="C29" s="91" t="s">
        <v>28</v>
      </c>
      <c r="D29" s="91" t="s">
        <v>52</v>
      </c>
      <c r="E29" s="91" t="s">
        <v>53</v>
      </c>
      <c r="F29" s="92" t="str">
        <f t="shared" si="1"/>
        <v/>
      </c>
      <c r="G29" s="59" t="str">
        <f t="shared" si="2"/>
        <v/>
      </c>
      <c r="H29" s="59" t="str">
        <f t="shared" si="3"/>
        <v/>
      </c>
      <c r="I29" s="59" t="str">
        <f t="shared" si="4"/>
        <v/>
      </c>
      <c r="J29" s="94" t="str">
        <f t="shared" si="5"/>
        <v/>
      </c>
      <c r="K29" s="59" t="str">
        <f t="shared" si="6"/>
        <v/>
      </c>
      <c r="L29" s="59" t="str">
        <f t="shared" si="7"/>
        <v/>
      </c>
      <c r="M29" s="92" t="str">
        <f t="shared" si="8"/>
        <v>未启用</v>
      </c>
    </row>
    <row r="30" ht="13.9" spans="1:13">
      <c r="A30" s="58">
        <v>11</v>
      </c>
      <c r="B30" s="58" t="str">
        <f t="shared" si="0"/>
        <v>未启用</v>
      </c>
      <c r="C30" s="91" t="s">
        <v>25</v>
      </c>
      <c r="D30" s="91" t="s">
        <v>52</v>
      </c>
      <c r="E30" s="91" t="s">
        <v>53</v>
      </c>
      <c r="F30" s="92" t="str">
        <f t="shared" si="1"/>
        <v/>
      </c>
      <c r="G30" s="59" t="str">
        <f t="shared" si="2"/>
        <v/>
      </c>
      <c r="H30" s="59" t="str">
        <f t="shared" si="3"/>
        <v/>
      </c>
      <c r="I30" s="59" t="str">
        <f t="shared" si="4"/>
        <v/>
      </c>
      <c r="J30" s="94" t="str">
        <f t="shared" si="5"/>
        <v/>
      </c>
      <c r="K30" s="59" t="str">
        <f t="shared" si="6"/>
        <v/>
      </c>
      <c r="L30" s="59" t="str">
        <f t="shared" si="7"/>
        <v/>
      </c>
      <c r="M30" s="92" t="str">
        <f t="shared" si="8"/>
        <v>未启用</v>
      </c>
    </row>
    <row r="31" ht="13.9" spans="1:13">
      <c r="A31" s="58">
        <v>12</v>
      </c>
      <c r="B31" s="58" t="str">
        <f t="shared" si="0"/>
        <v>未启用</v>
      </c>
      <c r="C31" s="91" t="s">
        <v>31</v>
      </c>
      <c r="D31" s="91" t="s">
        <v>54</v>
      </c>
      <c r="E31" s="91" t="s">
        <v>55</v>
      </c>
      <c r="F31" s="92" t="str">
        <f t="shared" si="1"/>
        <v/>
      </c>
      <c r="G31" s="59" t="str">
        <f t="shared" si="2"/>
        <v/>
      </c>
      <c r="H31" s="59" t="str">
        <f t="shared" si="3"/>
        <v/>
      </c>
      <c r="I31" s="59" t="str">
        <f t="shared" si="4"/>
        <v/>
      </c>
      <c r="J31" s="94" t="str">
        <f t="shared" si="5"/>
        <v/>
      </c>
      <c r="K31" s="59" t="str">
        <f t="shared" si="6"/>
        <v/>
      </c>
      <c r="L31" s="59" t="str">
        <f t="shared" si="7"/>
        <v/>
      </c>
      <c r="M31" s="92" t="str">
        <f t="shared" si="8"/>
        <v>未启用</v>
      </c>
    </row>
    <row r="32" ht="13.9" spans="1:13">
      <c r="A32" s="58">
        <v>13</v>
      </c>
      <c r="B32" s="58" t="str">
        <f t="shared" si="0"/>
        <v>未启用</v>
      </c>
      <c r="C32" s="91" t="s">
        <v>28</v>
      </c>
      <c r="D32" s="91" t="s">
        <v>52</v>
      </c>
      <c r="E32" s="91" t="s">
        <v>53</v>
      </c>
      <c r="F32" s="92" t="str">
        <f t="shared" si="1"/>
        <v/>
      </c>
      <c r="G32" s="59" t="str">
        <f t="shared" si="2"/>
        <v/>
      </c>
      <c r="H32" s="59" t="str">
        <f t="shared" si="3"/>
        <v/>
      </c>
      <c r="I32" s="59" t="str">
        <f t="shared" si="4"/>
        <v/>
      </c>
      <c r="J32" s="94" t="str">
        <f t="shared" si="5"/>
        <v/>
      </c>
      <c r="K32" s="59" t="str">
        <f t="shared" si="6"/>
        <v/>
      </c>
      <c r="L32" s="59" t="str">
        <f t="shared" si="7"/>
        <v/>
      </c>
      <c r="M32" s="92" t="str">
        <f t="shared" si="8"/>
        <v>未启用</v>
      </c>
    </row>
    <row r="33" ht="13.9" spans="1:13">
      <c r="A33" s="58">
        <v>14</v>
      </c>
      <c r="B33" s="58" t="str">
        <f t="shared" si="0"/>
        <v>未启用</v>
      </c>
      <c r="C33" s="91" t="s">
        <v>25</v>
      </c>
      <c r="D33" s="91" t="s">
        <v>54</v>
      </c>
      <c r="E33" s="91" t="s">
        <v>55</v>
      </c>
      <c r="F33" s="92" t="str">
        <f t="shared" si="1"/>
        <v/>
      </c>
      <c r="G33" s="59" t="str">
        <f t="shared" si="2"/>
        <v/>
      </c>
      <c r="H33" s="59" t="str">
        <f t="shared" si="3"/>
        <v/>
      </c>
      <c r="I33" s="59" t="str">
        <f t="shared" si="4"/>
        <v/>
      </c>
      <c r="J33" s="94" t="str">
        <f t="shared" si="5"/>
        <v/>
      </c>
      <c r="K33" s="59" t="str">
        <f t="shared" si="6"/>
        <v/>
      </c>
      <c r="L33" s="59" t="str">
        <f t="shared" si="7"/>
        <v/>
      </c>
      <c r="M33" s="92" t="str">
        <f t="shared" si="8"/>
        <v>未启用</v>
      </c>
    </row>
    <row r="34" ht="13.9" spans="1:13">
      <c r="A34" s="58">
        <v>15</v>
      </c>
      <c r="B34" s="58" t="str">
        <f t="shared" si="0"/>
        <v>未启用</v>
      </c>
      <c r="C34" s="91" t="s">
        <v>28</v>
      </c>
      <c r="D34" s="91" t="s">
        <v>52</v>
      </c>
      <c r="E34" s="91" t="s">
        <v>53</v>
      </c>
      <c r="F34" s="92" t="str">
        <f t="shared" si="1"/>
        <v/>
      </c>
      <c r="G34" s="59" t="str">
        <f t="shared" si="2"/>
        <v/>
      </c>
      <c r="H34" s="59" t="str">
        <f t="shared" si="3"/>
        <v/>
      </c>
      <c r="I34" s="59" t="str">
        <f t="shared" si="4"/>
        <v/>
      </c>
      <c r="J34" s="94" t="str">
        <f t="shared" si="5"/>
        <v/>
      </c>
      <c r="K34" s="59" t="str">
        <f t="shared" si="6"/>
        <v/>
      </c>
      <c r="L34" s="59" t="str">
        <f t="shared" si="7"/>
        <v/>
      </c>
      <c r="M34" s="92" t="str">
        <f t="shared" si="8"/>
        <v>未启用</v>
      </c>
    </row>
    <row r="35" ht="13.9" spans="1:13">
      <c r="A35" s="58">
        <v>16</v>
      </c>
      <c r="B35" s="58" t="str">
        <f t="shared" si="0"/>
        <v>未启用</v>
      </c>
      <c r="C35" s="91" t="s">
        <v>31</v>
      </c>
      <c r="D35" s="91" t="s">
        <v>54</v>
      </c>
      <c r="E35" s="91" t="s">
        <v>55</v>
      </c>
      <c r="F35" s="92" t="str">
        <f t="shared" si="1"/>
        <v/>
      </c>
      <c r="G35" s="59" t="str">
        <f t="shared" si="2"/>
        <v/>
      </c>
      <c r="H35" s="59" t="str">
        <f t="shared" si="3"/>
        <v/>
      </c>
      <c r="I35" s="59" t="str">
        <f t="shared" si="4"/>
        <v/>
      </c>
      <c r="J35" s="94" t="str">
        <f t="shared" si="5"/>
        <v/>
      </c>
      <c r="K35" s="59" t="str">
        <f t="shared" si="6"/>
        <v/>
      </c>
      <c r="L35" s="59" t="str">
        <f t="shared" si="7"/>
        <v/>
      </c>
      <c r="M35" s="92" t="str">
        <f t="shared" si="8"/>
        <v>未启用</v>
      </c>
    </row>
    <row r="36" ht="13.9" spans="1:13">
      <c r="A36" s="58">
        <v>17</v>
      </c>
      <c r="B36" s="58" t="str">
        <f t="shared" si="0"/>
        <v>未启用</v>
      </c>
      <c r="C36" s="91" t="s">
        <v>28</v>
      </c>
      <c r="D36" s="91" t="s">
        <v>52</v>
      </c>
      <c r="E36" s="91" t="s">
        <v>53</v>
      </c>
      <c r="F36" s="92" t="str">
        <f t="shared" si="1"/>
        <v/>
      </c>
      <c r="G36" s="59" t="str">
        <f t="shared" si="2"/>
        <v/>
      </c>
      <c r="H36" s="59" t="str">
        <f t="shared" si="3"/>
        <v/>
      </c>
      <c r="I36" s="59" t="str">
        <f t="shared" si="4"/>
        <v/>
      </c>
      <c r="J36" s="94" t="str">
        <f t="shared" si="5"/>
        <v/>
      </c>
      <c r="K36" s="59" t="str">
        <f t="shared" si="6"/>
        <v/>
      </c>
      <c r="L36" s="59" t="str">
        <f t="shared" si="7"/>
        <v/>
      </c>
      <c r="M36" s="92" t="str">
        <f t="shared" si="8"/>
        <v>未启用</v>
      </c>
    </row>
    <row r="37" ht="13.9" spans="1:13">
      <c r="A37" s="58">
        <v>18</v>
      </c>
      <c r="B37" s="58" t="str">
        <f t="shared" si="0"/>
        <v>未启用</v>
      </c>
      <c r="C37" s="91" t="s">
        <v>25</v>
      </c>
      <c r="D37" s="91" t="s">
        <v>52</v>
      </c>
      <c r="E37" s="91" t="s">
        <v>53</v>
      </c>
      <c r="F37" s="92" t="str">
        <f t="shared" si="1"/>
        <v/>
      </c>
      <c r="G37" s="59" t="str">
        <f t="shared" si="2"/>
        <v/>
      </c>
      <c r="H37" s="59" t="str">
        <f t="shared" si="3"/>
        <v/>
      </c>
      <c r="I37" s="59" t="str">
        <f t="shared" si="4"/>
        <v/>
      </c>
      <c r="J37" s="94" t="str">
        <f t="shared" si="5"/>
        <v/>
      </c>
      <c r="K37" s="59" t="str">
        <f t="shared" si="6"/>
        <v/>
      </c>
      <c r="L37" s="59" t="str">
        <f t="shared" si="7"/>
        <v/>
      </c>
      <c r="M37" s="92" t="str">
        <f t="shared" si="8"/>
        <v>未启用</v>
      </c>
    </row>
    <row r="38" ht="13.9" spans="1:13">
      <c r="A38" s="58">
        <v>19</v>
      </c>
      <c r="B38" s="58" t="str">
        <f t="shared" si="0"/>
        <v>未启用</v>
      </c>
      <c r="C38" s="91" t="s">
        <v>31</v>
      </c>
      <c r="D38" s="91" t="s">
        <v>54</v>
      </c>
      <c r="E38" s="91" t="s">
        <v>55</v>
      </c>
      <c r="F38" s="92" t="str">
        <f t="shared" si="1"/>
        <v/>
      </c>
      <c r="G38" s="59" t="str">
        <f t="shared" si="2"/>
        <v/>
      </c>
      <c r="H38" s="59" t="str">
        <f t="shared" si="3"/>
        <v/>
      </c>
      <c r="I38" s="59" t="str">
        <f t="shared" si="4"/>
        <v/>
      </c>
      <c r="J38" s="94" t="str">
        <f t="shared" si="5"/>
        <v/>
      </c>
      <c r="K38" s="59" t="str">
        <f t="shared" si="6"/>
        <v/>
      </c>
      <c r="L38" s="59" t="str">
        <f t="shared" si="7"/>
        <v/>
      </c>
      <c r="M38" s="92" t="str">
        <f t="shared" si="8"/>
        <v>未启用</v>
      </c>
    </row>
    <row r="39" ht="13.9" spans="1:13">
      <c r="A39" s="58">
        <v>20</v>
      </c>
      <c r="B39" s="58" t="str">
        <f t="shared" si="0"/>
        <v>未启用</v>
      </c>
      <c r="C39" s="91" t="s">
        <v>28</v>
      </c>
      <c r="D39" s="91" t="s">
        <v>52</v>
      </c>
      <c r="E39" s="91" t="s">
        <v>53</v>
      </c>
      <c r="F39" s="92" t="str">
        <f t="shared" si="1"/>
        <v/>
      </c>
      <c r="G39" s="59" t="str">
        <f t="shared" si="2"/>
        <v/>
      </c>
      <c r="H39" s="59" t="str">
        <f t="shared" si="3"/>
        <v/>
      </c>
      <c r="I39" s="59" t="str">
        <f t="shared" si="4"/>
        <v/>
      </c>
      <c r="J39" s="94" t="str">
        <f t="shared" si="5"/>
        <v/>
      </c>
      <c r="K39" s="59" t="str">
        <f t="shared" si="6"/>
        <v/>
      </c>
      <c r="L39" s="59" t="str">
        <f t="shared" si="7"/>
        <v/>
      </c>
      <c r="M39" s="92" t="str">
        <f t="shared" si="8"/>
        <v>未启用</v>
      </c>
    </row>
    <row r="40" ht="13.9" spans="1:13">
      <c r="A40" s="58">
        <v>21</v>
      </c>
      <c r="B40" s="58" t="str">
        <f t="shared" si="0"/>
        <v>未启用</v>
      </c>
      <c r="C40" s="91" t="s">
        <v>25</v>
      </c>
      <c r="D40" s="91" t="s">
        <v>54</v>
      </c>
      <c r="E40" s="91" t="s">
        <v>55</v>
      </c>
      <c r="F40" s="92" t="str">
        <f t="shared" si="1"/>
        <v/>
      </c>
      <c r="G40" s="59" t="str">
        <f t="shared" si="2"/>
        <v/>
      </c>
      <c r="H40" s="59" t="str">
        <f t="shared" si="3"/>
        <v/>
      </c>
      <c r="I40" s="59" t="str">
        <f t="shared" si="4"/>
        <v/>
      </c>
      <c r="J40" s="94" t="str">
        <f t="shared" si="5"/>
        <v/>
      </c>
      <c r="K40" s="59" t="str">
        <f t="shared" si="6"/>
        <v/>
      </c>
      <c r="L40" s="59" t="str">
        <f t="shared" si="7"/>
        <v/>
      </c>
      <c r="M40" s="92" t="str">
        <f t="shared" si="8"/>
        <v>未启用</v>
      </c>
    </row>
    <row r="41" ht="13.9" spans="1:13">
      <c r="A41" s="58">
        <v>22</v>
      </c>
      <c r="B41" s="58" t="str">
        <f t="shared" si="0"/>
        <v>未启用</v>
      </c>
      <c r="C41" s="91" t="s">
        <v>28</v>
      </c>
      <c r="D41" s="91" t="s">
        <v>52</v>
      </c>
      <c r="E41" s="91" t="s">
        <v>53</v>
      </c>
      <c r="F41" s="92" t="str">
        <f t="shared" si="1"/>
        <v/>
      </c>
      <c r="G41" s="59" t="str">
        <f t="shared" si="2"/>
        <v/>
      </c>
      <c r="H41" s="59" t="str">
        <f t="shared" si="3"/>
        <v/>
      </c>
      <c r="I41" s="59" t="str">
        <f t="shared" si="4"/>
        <v/>
      </c>
      <c r="J41" s="94" t="str">
        <f t="shared" si="5"/>
        <v/>
      </c>
      <c r="K41" s="59" t="str">
        <f t="shared" si="6"/>
        <v/>
      </c>
      <c r="L41" s="59" t="str">
        <f t="shared" si="7"/>
        <v/>
      </c>
      <c r="M41" s="92" t="str">
        <f t="shared" si="8"/>
        <v>未启用</v>
      </c>
    </row>
    <row r="42" ht="13.9" spans="1:13">
      <c r="A42" s="58">
        <v>23</v>
      </c>
      <c r="B42" s="58" t="str">
        <f t="shared" si="0"/>
        <v>未启用</v>
      </c>
      <c r="C42" s="91" t="s">
        <v>31</v>
      </c>
      <c r="D42" s="91" t="s">
        <v>54</v>
      </c>
      <c r="E42" s="91" t="s">
        <v>55</v>
      </c>
      <c r="F42" s="92" t="str">
        <f t="shared" si="1"/>
        <v/>
      </c>
      <c r="G42" s="59" t="str">
        <f t="shared" si="2"/>
        <v/>
      </c>
      <c r="H42" s="59" t="str">
        <f t="shared" si="3"/>
        <v/>
      </c>
      <c r="I42" s="59" t="str">
        <f t="shared" si="4"/>
        <v/>
      </c>
      <c r="J42" s="94" t="str">
        <f t="shared" si="5"/>
        <v/>
      </c>
      <c r="K42" s="59" t="str">
        <f t="shared" si="6"/>
        <v/>
      </c>
      <c r="L42" s="59" t="str">
        <f t="shared" si="7"/>
        <v/>
      </c>
      <c r="M42" s="92" t="str">
        <f t="shared" si="8"/>
        <v>未启用</v>
      </c>
    </row>
    <row r="43" ht="13.9" spans="1:13">
      <c r="A43" s="58">
        <v>24</v>
      </c>
      <c r="B43" s="58" t="str">
        <f t="shared" si="0"/>
        <v>未启用</v>
      </c>
      <c r="C43" s="91" t="s">
        <v>28</v>
      </c>
      <c r="D43" s="91" t="s">
        <v>52</v>
      </c>
      <c r="E43" s="91" t="s">
        <v>53</v>
      </c>
      <c r="F43" s="92" t="str">
        <f t="shared" si="1"/>
        <v/>
      </c>
      <c r="G43" s="59" t="str">
        <f t="shared" si="2"/>
        <v/>
      </c>
      <c r="H43" s="59" t="str">
        <f t="shared" si="3"/>
        <v/>
      </c>
      <c r="I43" s="59" t="str">
        <f t="shared" si="4"/>
        <v/>
      </c>
      <c r="J43" s="94" t="str">
        <f t="shared" si="5"/>
        <v/>
      </c>
      <c r="K43" s="59" t="str">
        <f t="shared" si="6"/>
        <v/>
      </c>
      <c r="L43" s="59" t="str">
        <f t="shared" si="7"/>
        <v/>
      </c>
      <c r="M43" s="92" t="str">
        <f t="shared" si="8"/>
        <v>未启用</v>
      </c>
    </row>
    <row r="44" ht="13.9" spans="1:13">
      <c r="A44" s="58">
        <v>25</v>
      </c>
      <c r="B44" s="58" t="str">
        <f t="shared" si="0"/>
        <v>未启用</v>
      </c>
      <c r="C44" s="91" t="s">
        <v>25</v>
      </c>
      <c r="D44" s="91" t="s">
        <v>52</v>
      </c>
      <c r="E44" s="91" t="s">
        <v>53</v>
      </c>
      <c r="F44" s="92" t="str">
        <f t="shared" si="1"/>
        <v/>
      </c>
      <c r="G44" s="59" t="str">
        <f t="shared" si="2"/>
        <v/>
      </c>
      <c r="H44" s="59" t="str">
        <f t="shared" si="3"/>
        <v/>
      </c>
      <c r="I44" s="59" t="str">
        <f t="shared" si="4"/>
        <v/>
      </c>
      <c r="J44" s="94" t="str">
        <f t="shared" si="5"/>
        <v/>
      </c>
      <c r="K44" s="59" t="str">
        <f t="shared" si="6"/>
        <v/>
      </c>
      <c r="L44" s="59" t="str">
        <f t="shared" si="7"/>
        <v/>
      </c>
      <c r="M44" s="92" t="str">
        <f t="shared" si="8"/>
        <v>未启用</v>
      </c>
    </row>
    <row r="45" ht="13.9" spans="1:13">
      <c r="A45" s="58">
        <v>26</v>
      </c>
      <c r="B45" s="58" t="str">
        <f t="shared" si="0"/>
        <v>未启用</v>
      </c>
      <c r="C45" s="91" t="s">
        <v>31</v>
      </c>
      <c r="D45" s="91" t="s">
        <v>54</v>
      </c>
      <c r="E45" s="91" t="s">
        <v>55</v>
      </c>
      <c r="F45" s="92" t="str">
        <f t="shared" si="1"/>
        <v/>
      </c>
      <c r="G45" s="59" t="str">
        <f t="shared" si="2"/>
        <v/>
      </c>
      <c r="H45" s="59" t="str">
        <f t="shared" si="3"/>
        <v/>
      </c>
      <c r="I45" s="59" t="str">
        <f t="shared" si="4"/>
        <v/>
      </c>
      <c r="J45" s="94" t="str">
        <f t="shared" si="5"/>
        <v/>
      </c>
      <c r="K45" s="59" t="str">
        <f t="shared" si="6"/>
        <v/>
      </c>
      <c r="L45" s="59" t="str">
        <f t="shared" si="7"/>
        <v/>
      </c>
      <c r="M45" s="92" t="str">
        <f t="shared" si="8"/>
        <v>未启用</v>
      </c>
    </row>
    <row r="46" ht="13.9" spans="1:13">
      <c r="A46" s="58">
        <v>27</v>
      </c>
      <c r="B46" s="58" t="str">
        <f t="shared" si="0"/>
        <v>未启用</v>
      </c>
      <c r="C46" s="91" t="s">
        <v>28</v>
      </c>
      <c r="D46" s="91" t="s">
        <v>52</v>
      </c>
      <c r="E46" s="91" t="s">
        <v>53</v>
      </c>
      <c r="F46" s="92" t="str">
        <f t="shared" si="1"/>
        <v/>
      </c>
      <c r="G46" s="59" t="str">
        <f t="shared" si="2"/>
        <v/>
      </c>
      <c r="H46" s="59" t="str">
        <f t="shared" si="3"/>
        <v/>
      </c>
      <c r="I46" s="59" t="str">
        <f t="shared" si="4"/>
        <v/>
      </c>
      <c r="J46" s="94" t="str">
        <f t="shared" si="5"/>
        <v/>
      </c>
      <c r="K46" s="59" t="str">
        <f t="shared" si="6"/>
        <v/>
      </c>
      <c r="L46" s="59" t="str">
        <f t="shared" si="7"/>
        <v/>
      </c>
      <c r="M46" s="92" t="str">
        <f t="shared" si="8"/>
        <v>未启用</v>
      </c>
    </row>
    <row r="47" ht="13.9" spans="1:13">
      <c r="A47" s="58">
        <v>28</v>
      </c>
      <c r="B47" s="58" t="str">
        <f t="shared" si="0"/>
        <v>未启用</v>
      </c>
      <c r="C47" s="91" t="s">
        <v>25</v>
      </c>
      <c r="D47" s="91" t="s">
        <v>54</v>
      </c>
      <c r="E47" s="91" t="s">
        <v>55</v>
      </c>
      <c r="F47" s="92" t="str">
        <f t="shared" si="1"/>
        <v/>
      </c>
      <c r="G47" s="59" t="str">
        <f t="shared" si="2"/>
        <v/>
      </c>
      <c r="H47" s="59" t="str">
        <f t="shared" si="3"/>
        <v/>
      </c>
      <c r="I47" s="59" t="str">
        <f t="shared" si="4"/>
        <v/>
      </c>
      <c r="J47" s="94" t="str">
        <f t="shared" si="5"/>
        <v/>
      </c>
      <c r="K47" s="59" t="str">
        <f t="shared" si="6"/>
        <v/>
      </c>
      <c r="L47" s="59" t="str">
        <f t="shared" si="7"/>
        <v/>
      </c>
      <c r="M47" s="92" t="str">
        <f t="shared" si="8"/>
        <v>未启用</v>
      </c>
    </row>
    <row r="48" ht="13.9" spans="1:13">
      <c r="A48" s="58">
        <v>29</v>
      </c>
      <c r="B48" s="58" t="str">
        <f t="shared" si="0"/>
        <v>未启用</v>
      </c>
      <c r="C48" s="91" t="s">
        <v>28</v>
      </c>
      <c r="D48" s="91" t="s">
        <v>52</v>
      </c>
      <c r="E48" s="91" t="s">
        <v>53</v>
      </c>
      <c r="F48" s="92" t="str">
        <f t="shared" si="1"/>
        <v/>
      </c>
      <c r="G48" s="59" t="str">
        <f t="shared" si="2"/>
        <v/>
      </c>
      <c r="H48" s="59" t="str">
        <f t="shared" si="3"/>
        <v/>
      </c>
      <c r="I48" s="59" t="str">
        <f t="shared" si="4"/>
        <v/>
      </c>
      <c r="J48" s="94" t="str">
        <f t="shared" si="5"/>
        <v/>
      </c>
      <c r="K48" s="59" t="str">
        <f t="shared" si="6"/>
        <v/>
      </c>
      <c r="L48" s="59" t="str">
        <f t="shared" si="7"/>
        <v/>
      </c>
      <c r="M48" s="92" t="str">
        <f t="shared" si="8"/>
        <v>未启用</v>
      </c>
    </row>
    <row r="49" ht="13.9" spans="1:13">
      <c r="A49" s="58">
        <v>30</v>
      </c>
      <c r="B49" s="58" t="str">
        <f t="shared" si="0"/>
        <v>未启用</v>
      </c>
      <c r="C49" s="91" t="s">
        <v>31</v>
      </c>
      <c r="D49" s="91" t="s">
        <v>54</v>
      </c>
      <c r="E49" s="91" t="s">
        <v>55</v>
      </c>
      <c r="F49" s="92" t="str">
        <f t="shared" si="1"/>
        <v/>
      </c>
      <c r="G49" s="59" t="str">
        <f t="shared" si="2"/>
        <v/>
      </c>
      <c r="H49" s="59" t="str">
        <f t="shared" si="3"/>
        <v/>
      </c>
      <c r="I49" s="59" t="str">
        <f t="shared" si="4"/>
        <v/>
      </c>
      <c r="J49" s="94" t="str">
        <f t="shared" si="5"/>
        <v/>
      </c>
      <c r="K49" s="59" t="str">
        <f t="shared" si="6"/>
        <v/>
      </c>
      <c r="L49" s="59" t="str">
        <f t="shared" si="7"/>
        <v/>
      </c>
      <c r="M49" s="92" t="str">
        <f t="shared" si="8"/>
        <v>未启用</v>
      </c>
    </row>
    <row r="50" ht="13.9" spans="1:13">
      <c r="A50" s="58">
        <v>31</v>
      </c>
      <c r="B50" s="58" t="str">
        <f t="shared" si="0"/>
        <v>未启用</v>
      </c>
      <c r="C50" s="91" t="s">
        <v>28</v>
      </c>
      <c r="D50" s="91" t="s">
        <v>52</v>
      </c>
      <c r="E50" s="91" t="s">
        <v>53</v>
      </c>
      <c r="F50" s="92" t="str">
        <f t="shared" si="1"/>
        <v/>
      </c>
      <c r="G50" s="59" t="str">
        <f t="shared" si="2"/>
        <v/>
      </c>
      <c r="H50" s="59" t="str">
        <f t="shared" si="3"/>
        <v/>
      </c>
      <c r="I50" s="59" t="str">
        <f t="shared" si="4"/>
        <v/>
      </c>
      <c r="J50" s="94" t="str">
        <f t="shared" si="5"/>
        <v/>
      </c>
      <c r="K50" s="59" t="str">
        <f t="shared" si="6"/>
        <v/>
      </c>
      <c r="L50" s="59" t="str">
        <f t="shared" si="7"/>
        <v/>
      </c>
      <c r="M50" s="92" t="str">
        <f t="shared" si="8"/>
        <v>未启用</v>
      </c>
    </row>
    <row r="51" ht="14.65" spans="1:13">
      <c r="A51" s="61" t="s">
        <v>56</v>
      </c>
      <c r="B51" s="61">
        <f>COUNTIF(B20:B50,"&lt;&gt;未启用")</f>
        <v>7</v>
      </c>
      <c r="C51" s="61"/>
      <c r="D51" s="61"/>
      <c r="E51" s="61"/>
      <c r="F51" s="61"/>
      <c r="G51" s="62">
        <f>SUM(G20:G50)</f>
        <v>1190</v>
      </c>
      <c r="H51" s="62">
        <f>SUM(H20:H50)</f>
        <v>833</v>
      </c>
      <c r="I51" s="62">
        <f>SUM(I20:I50)</f>
        <v>476</v>
      </c>
      <c r="J51" s="135">
        <f>SUM(J20:J50)</f>
        <v>12376</v>
      </c>
      <c r="K51" s="61"/>
      <c r="L51" s="61"/>
      <c r="M51" s="61" t="str">
        <f>IF(COUNTIFS($A$20:$A$50,"&lt;="&amp;$B$9,$M$20:$M$50,"&lt;&gt;正常")=0,"全部正常","请检查提示")</f>
        <v>全部正常</v>
      </c>
    </row>
    <row r="52" ht="13.85" spans="1:13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</row>
    <row r="53" ht="28" customHeight="1" spans="1:13">
      <c r="A53" s="63" t="s">
        <v>57</v>
      </c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</row>
    <row r="54" ht="34" customHeight="1" spans="1:13">
      <c r="A54" s="63" t="s">
        <v>58</v>
      </c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</row>
    <row r="55" ht="36" customHeight="1" spans="1:13">
      <c r="A55" s="63" t="s">
        <v>59</v>
      </c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</row>
  </sheetData>
  <mergeCells count="8">
    <mergeCell ref="A1:M1"/>
    <mergeCell ref="A3:M3"/>
    <mergeCell ref="A11:M11"/>
    <mergeCell ref="J12:M12"/>
    <mergeCell ref="A18:M18"/>
    <mergeCell ref="A53:M53"/>
    <mergeCell ref="A54:M54"/>
    <mergeCell ref="A55:M55"/>
  </mergeCells>
  <conditionalFormatting sqref="M51">
    <cfRule type="expression" dxfId="0" priority="103">
      <formula>$M$51="全部正常"</formula>
    </cfRule>
  </conditionalFormatting>
  <dataValidations count="4">
    <dataValidation type="whole" operator="between" showInputMessage="1" showErrorMessage="1" sqref="B9">
      <formula1>1</formula1>
      <formula2>31</formula2>
    </dataValidation>
    <dataValidation type="list" allowBlank="1" showInputMessage="1" showErrorMessage="1" sqref="C20:C50">
      <formula1>"高碳日,中碳日,低碳日"</formula1>
    </dataValidation>
    <dataValidation type="list" allowBlank="1" showInputMessage="1" showErrorMessage="1" sqref="D20:D50">
      <formula1>"是,否"</formula1>
    </dataValidation>
    <dataValidation type="list" allowBlank="1" showInputMessage="1" showErrorMessage="1" sqref="E20:E50">
      <formula1>"-,早餐前,午饭前,晚饭前,其他"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3F7A"/>
  </sheetPr>
  <dimension ref="A1:L34"/>
  <sheetViews>
    <sheetView showGridLines="0" workbookViewId="0">
      <selection activeCell="A1" sqref="A1:L1"/>
    </sheetView>
  </sheetViews>
  <sheetFormatPr defaultColWidth="9" defaultRowHeight="13.5"/>
  <cols>
    <col min="1" max="1" width="16" customWidth="1"/>
    <col min="2" max="3" width="14" customWidth="1"/>
    <col min="4" max="4" width="16" customWidth="1"/>
    <col min="5" max="5" width="28" customWidth="1"/>
  </cols>
  <sheetData>
    <row r="1" ht="34" customHeight="1" spans="1:12">
      <c r="A1" s="55" t="s">
        <v>60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3" ht="22" customHeight="1" spans="1:12">
      <c r="A3" s="57" t="s">
        <v>61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ht="13.85" spans="1:12">
      <c r="A4" s="17" t="s">
        <v>62</v>
      </c>
      <c r="B4" s="124">
        <f>V6周期计划!$B$9</f>
        <v>7</v>
      </c>
      <c r="C4" s="17" t="s">
        <v>63</v>
      </c>
      <c r="D4" s="124">
        <f>COUNTIFS(V6周期计划!$A$20:$A$50,"&lt;="&amp;V6周期计划!$B$9,V6周期计划!$D$20:$D$50,"是")</f>
        <v>4</v>
      </c>
      <c r="E4" s="17" t="s">
        <v>64</v>
      </c>
      <c r="F4" s="124">
        <f>COUNTIFS(V6周期计划!$A$20:$A$50,"&lt;="&amp;V6周期计划!$B$9,V6周期计划!$D$20:$D$50,"否")</f>
        <v>3</v>
      </c>
    </row>
    <row r="6" ht="28" customHeight="1" spans="1:12">
      <c r="A6" s="20" t="s">
        <v>65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ht="28" customHeight="1" spans="1:12">
      <c r="A7" s="20" t="s">
        <v>66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ht="28" customHeight="1" spans="1:12">
      <c r="A8" s="20" t="s">
        <v>67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13" ht="22" customHeight="1" spans="1:12">
      <c r="A13" s="23" t="s">
        <v>68</v>
      </c>
    </row>
    <row r="14" spans="1:12">
      <c r="A14" s="28" t="s">
        <v>69</v>
      </c>
      <c r="B14" s="28" t="s">
        <v>70</v>
      </c>
      <c r="C14" s="28" t="s">
        <v>71</v>
      </c>
      <c r="D14" s="28" t="s">
        <v>72</v>
      </c>
      <c r="E14" s="28" t="s">
        <v>73</v>
      </c>
    </row>
    <row r="15" spans="1:12">
      <c r="A15" s="32" t="s">
        <v>74</v>
      </c>
      <c r="B15" s="125">
        <v>0.25</v>
      </c>
      <c r="C15" s="125">
        <v>0.2</v>
      </c>
      <c r="D15" s="125">
        <v>0.2</v>
      </c>
      <c r="E15" s="32" t="s">
        <v>75</v>
      </c>
    </row>
    <row r="16" spans="1:12">
      <c r="A16" s="32" t="s">
        <v>76</v>
      </c>
      <c r="B16" s="125">
        <v>0.25</v>
      </c>
      <c r="C16" s="125">
        <v>0.4</v>
      </c>
      <c r="D16" s="125">
        <v>0.4</v>
      </c>
      <c r="E16" s="32" t="s">
        <v>77</v>
      </c>
    </row>
    <row r="17" ht="27" spans="1:12">
      <c r="A17" s="32" t="s">
        <v>78</v>
      </c>
      <c r="B17" s="125">
        <v>0.1</v>
      </c>
      <c r="C17" s="125">
        <v>0</v>
      </c>
      <c r="D17" s="125">
        <v>0</v>
      </c>
      <c r="E17" s="32" t="s">
        <v>79</v>
      </c>
    </row>
    <row r="18" ht="27" spans="1:12">
      <c r="A18" s="32" t="s">
        <v>80</v>
      </c>
      <c r="B18" s="125">
        <v>0.4</v>
      </c>
      <c r="C18" s="125">
        <v>0.4</v>
      </c>
      <c r="D18" s="125">
        <v>0.4</v>
      </c>
      <c r="E18" s="32" t="s">
        <v>81</v>
      </c>
    </row>
    <row r="19" spans="1:12">
      <c r="A19" s="30" t="s">
        <v>82</v>
      </c>
      <c r="B19" s="31">
        <f>SUM(B15:B18)</f>
        <v>1</v>
      </c>
      <c r="C19" s="31">
        <f>SUM(C15:C18)</f>
        <v>1</v>
      </c>
      <c r="D19" s="31">
        <f>SUM(D15:D18)</f>
        <v>1</v>
      </c>
    </row>
    <row r="21" ht="22" customHeight="1" spans="1:12">
      <c r="A21" s="23" t="s">
        <v>83</v>
      </c>
    </row>
    <row r="22" spans="1:12">
      <c r="A22" s="28" t="s">
        <v>69</v>
      </c>
      <c r="B22" s="28" t="s">
        <v>70</v>
      </c>
      <c r="C22" s="28" t="s">
        <v>71</v>
      </c>
      <c r="D22" s="28" t="s">
        <v>72</v>
      </c>
      <c r="E22" s="28" t="s">
        <v>73</v>
      </c>
    </row>
    <row r="23" spans="1:12">
      <c r="A23" s="32" t="s">
        <v>74</v>
      </c>
      <c r="B23" s="125">
        <v>0.3</v>
      </c>
      <c r="C23" s="125">
        <v>0.3</v>
      </c>
      <c r="D23" s="125">
        <v>0.3</v>
      </c>
      <c r="E23" s="32" t="s">
        <v>84</v>
      </c>
    </row>
    <row r="24" spans="1:12">
      <c r="A24" s="32" t="s">
        <v>76</v>
      </c>
      <c r="B24" s="125">
        <v>0.4</v>
      </c>
      <c r="C24" s="125">
        <v>0.4</v>
      </c>
      <c r="D24" s="125">
        <v>0.4</v>
      </c>
      <c r="E24" s="32" t="s">
        <v>85</v>
      </c>
    </row>
    <row r="25" spans="1:12">
      <c r="A25" s="32" t="s">
        <v>78</v>
      </c>
      <c r="B25" s="125">
        <v>0</v>
      </c>
      <c r="C25" s="125">
        <v>0</v>
      </c>
      <c r="D25" s="125">
        <v>0</v>
      </c>
      <c r="E25" s="32" t="s">
        <v>86</v>
      </c>
    </row>
    <row r="26" spans="1:12">
      <c r="A26" s="32" t="s">
        <v>87</v>
      </c>
      <c r="B26" s="125">
        <v>0.3</v>
      </c>
      <c r="C26" s="125">
        <v>0.3</v>
      </c>
      <c r="D26" s="125">
        <v>0.3</v>
      </c>
      <c r="E26" s="32" t="s">
        <v>84</v>
      </c>
    </row>
    <row r="27" spans="1:12">
      <c r="A27" s="30" t="s">
        <v>82</v>
      </c>
      <c r="B27" s="31">
        <f>SUM(B23:B26)</f>
        <v>1</v>
      </c>
      <c r="C27" s="31">
        <f>SUM(C23:C26)</f>
        <v>1</v>
      </c>
      <c r="D27" s="31">
        <f>SUM(D23:D26)</f>
        <v>1</v>
      </c>
    </row>
    <row r="29" ht="22" customHeight="1" spans="1:12">
      <c r="A29" s="126" t="s">
        <v>88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ht="32" customHeight="1" spans="1:12">
      <c r="A30" s="127" t="s">
        <v>89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ht="32" customHeight="1" spans="1:12">
      <c r="A31" s="127" t="s">
        <v>90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 ht="32" customHeight="1" spans="1:12">
      <c r="A32" s="127" t="s">
        <v>91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ht="32" customHeight="1" spans="1:12">
      <c r="A33" s="127" t="s">
        <v>92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ht="32" customHeight="1" spans="1:12">
      <c r="A34" s="127" t="s">
        <v>93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</sheetData>
  <mergeCells count="13">
    <mergeCell ref="A1:L1"/>
    <mergeCell ref="A3:L3"/>
    <mergeCell ref="A6:L6"/>
    <mergeCell ref="A7:L7"/>
    <mergeCell ref="A8:L8"/>
    <mergeCell ref="A13:L13"/>
    <mergeCell ref="A21:L21"/>
    <mergeCell ref="A29:L29"/>
    <mergeCell ref="A30:L30"/>
    <mergeCell ref="A31:L31"/>
    <mergeCell ref="A32:L32"/>
    <mergeCell ref="A33:L33"/>
    <mergeCell ref="A34:L3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69E00"/>
  </sheetPr>
  <dimension ref="A1:AS77"/>
  <sheetViews>
    <sheetView showGridLines="0" workbookViewId="0">
      <selection activeCell="A1" sqref="A1:T1"/>
    </sheetView>
  </sheetViews>
  <sheetFormatPr defaultColWidth="9" defaultRowHeight="13.5"/>
  <cols>
    <col min="1" max="1" width="12.6371681415929" customWidth="1"/>
    <col min="2" max="5" width="9.63716814159292" customWidth="1"/>
    <col min="6" max="6" width="16.6371681415929" customWidth="1"/>
    <col min="7" max="7" width="10.6371681415929" customWidth="1"/>
    <col min="8" max="8" width="11.6371681415929" customWidth="1"/>
    <col min="9" max="9" width="16.6371681415929" customWidth="1"/>
    <col min="10" max="10" width="10.6371681415929" customWidth="1"/>
    <col min="11" max="11" width="11.6371681415929" customWidth="1"/>
    <col min="12" max="12" width="14.6371681415929" customWidth="1"/>
    <col min="13" max="13" width="11.6371681415929" customWidth="1"/>
    <col min="14" max="14" width="14.6371681415929" customWidth="1"/>
    <col min="15" max="18" width="11.6371681415929" customWidth="1"/>
    <col min="19" max="19" width="12.6371681415929" customWidth="1"/>
    <col min="20" max="20" width="11.6371681415929" customWidth="1"/>
    <col min="21" max="21" width="11" hidden="1" customWidth="1"/>
    <col min="22" max="23" width="13" hidden="1" customWidth="1"/>
    <col min="24" max="25" width="11" hidden="1" customWidth="1"/>
    <col min="26" max="26" width="13" hidden="1" customWidth="1"/>
    <col min="27" max="45" width="9" hidden="1" customWidth="1"/>
  </cols>
  <sheetData>
    <row r="1" ht="32" customHeight="1" spans="1:45">
      <c r="A1" s="55" t="s">
        <v>94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</row>
    <row r="2" ht="13.85" spans="1:4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</row>
    <row r="3" ht="22" customHeight="1" spans="1:45">
      <c r="A3" s="57" t="s">
        <v>95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</row>
    <row r="4" ht="27.75" spans="1:45">
      <c r="A4" s="58" t="s">
        <v>96</v>
      </c>
      <c r="B4" s="91">
        <v>1</v>
      </c>
      <c r="C4" s="58"/>
      <c r="D4" s="58" t="s">
        <v>44</v>
      </c>
      <c r="E4" s="92" t="str">
        <f>IFERROR(VLOOKUP(B4,V6周期计划!$A$20:$M$50,4,FALSE),"")</f>
        <v>是</v>
      </c>
      <c r="F4" s="58"/>
      <c r="G4" s="58" t="s">
        <v>43</v>
      </c>
      <c r="H4" s="92" t="str">
        <f>IFERROR(VLOOKUP(B4,V6周期计划!$A$20:$M$50,3,FALSE),"")</f>
        <v>中碳日</v>
      </c>
      <c r="I4" s="58"/>
      <c r="J4" s="58" t="s">
        <v>97</v>
      </c>
      <c r="K4" s="59">
        <f>IF(B4&gt;CycleLength,"",IFERROR(VLOOKUP(B4,V6周期计划!$A$20:$M$50,7,FALSE),""))</f>
        <v>150.845070422535</v>
      </c>
      <c r="L4" s="93"/>
      <c r="M4" s="93" t="s">
        <v>98</v>
      </c>
      <c r="N4" s="59">
        <f>IF(B4&gt;CycleLength,"",IFERROR(VLOOKUP(B4,V6周期计划!$A$20:$M$50,8,FALSE),""))</f>
        <v>119</v>
      </c>
      <c r="O4" s="58"/>
      <c r="P4" s="58" t="s">
        <v>99</v>
      </c>
      <c r="Q4" s="59">
        <f>IF(B4&gt;CycleLength,"",IFERROR(VLOOKUP(B4,V6周期计划!$A$20:$M$50,9,FALSE),""))</f>
        <v>76.5133020344288</v>
      </c>
      <c r="R4" s="58"/>
      <c r="S4" s="58" t="s">
        <v>100</v>
      </c>
      <c r="T4" s="94">
        <f>IF(B4&gt;CycleLength,"",IFERROR(VLOOKUP(B4,V6周期计划!$A$20:$M$50,10,FALSE),""))</f>
        <v>1768</v>
      </c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</row>
    <row r="5" ht="13.9" spans="1:45">
      <c r="A5" s="58" t="s">
        <v>36</v>
      </c>
      <c r="B5" s="92">
        <f>CycleLength</f>
        <v>7</v>
      </c>
      <c r="C5" s="58"/>
      <c r="D5" s="58" t="s">
        <v>45</v>
      </c>
      <c r="E5" s="92" t="str">
        <f>IFERROR(VLOOKUP(B4,V6周期计划!$A$20:$M$50,5,FALSE),"")</f>
        <v>晚饭前</v>
      </c>
      <c r="F5" s="58"/>
      <c r="G5" s="58" t="s">
        <v>46</v>
      </c>
      <c r="H5" s="92" t="str">
        <f>IFERROR(VLOOKUP(B4,V6周期计划!$A$20:$M$50,6,FALSE),"")</f>
        <v>训练日模板</v>
      </c>
      <c r="I5" s="58"/>
      <c r="J5" s="58" t="s">
        <v>101</v>
      </c>
      <c r="K5" s="92" t="str">
        <f>IF(B4&gt;CycleLength,"未启用",IFERROR(VLOOKUP(B4,V6周期计划!$A$20:$M$50,13,FALSE),"请检查"))</f>
        <v>正常</v>
      </c>
      <c r="L5" s="58"/>
      <c r="M5" s="58" t="s">
        <v>102</v>
      </c>
      <c r="N5" s="92" t="str">
        <f>IF(B4&lt;=CycleLength,"已启用；修改B4查看其他循环日","超出当前循环长度")</f>
        <v>已启用；修改B4查看其他循环日</v>
      </c>
      <c r="O5" s="58"/>
      <c r="P5" s="58"/>
      <c r="Q5" s="58"/>
      <c r="R5" s="58"/>
      <c r="S5" s="58"/>
      <c r="T5" s="58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</row>
    <row r="6" ht="22" customHeight="1" spans="1:45">
      <c r="A6" s="57" t="s">
        <v>103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</row>
    <row r="7" ht="28" customHeight="1" spans="1:45">
      <c r="A7" s="16" t="s">
        <v>69</v>
      </c>
      <c r="B7" s="16" t="s">
        <v>70</v>
      </c>
      <c r="C7" s="16" t="s">
        <v>71</v>
      </c>
      <c r="D7" s="16" t="s">
        <v>72</v>
      </c>
      <c r="E7" s="16" t="s">
        <v>104</v>
      </c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</row>
    <row r="8" ht="13.9" spans="1:45">
      <c r="A8" s="58" t="s">
        <v>74</v>
      </c>
      <c r="B8" s="95">
        <f>IF($E$4="是",V6设置!B15,V6设置!B23)</f>
        <v>0.25</v>
      </c>
      <c r="C8" s="95">
        <f>IF($E$4="是",V6设置!C15,V6设置!C23)</f>
        <v>0.2</v>
      </c>
      <c r="D8" s="95">
        <f>IF($E$4="是",V6设置!D15,V6设置!D23)</f>
        <v>0.2</v>
      </c>
      <c r="E8" s="92" t="str">
        <f>IF(AND($E$4="否",A8="练前餐"),"休息日不安排",IF(A8="练前餐","纯碳水","执行"))</f>
        <v>执行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</row>
    <row r="9" ht="13.9" spans="1:45">
      <c r="A9" s="58" t="s">
        <v>76</v>
      </c>
      <c r="B9" s="95">
        <f>IF($E$4="是",V6设置!B16,V6设置!B24)</f>
        <v>0.25</v>
      </c>
      <c r="C9" s="95">
        <f>IF($E$4="是",V6设置!C16,V6设置!C24)</f>
        <v>0.4</v>
      </c>
      <c r="D9" s="95">
        <f>IF($E$4="是",V6设置!D16,V6设置!D24)</f>
        <v>0.4</v>
      </c>
      <c r="E9" s="92" t="str">
        <f>IF(AND($E$4="否",A9="练前餐"),"休息日不安排",IF(A9="练前餐","纯碳水","执行"))</f>
        <v>执行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</row>
    <row r="10" ht="13.9" spans="1:45">
      <c r="A10" s="58" t="s">
        <v>78</v>
      </c>
      <c r="B10" s="95">
        <f>IF($E$4="是",V6设置!B17,V6设置!B25)</f>
        <v>0.1</v>
      </c>
      <c r="C10" s="95">
        <f>IF($E$4="是",V6设置!C17,V6设置!C25)</f>
        <v>0</v>
      </c>
      <c r="D10" s="95">
        <f>IF($E$4="是",V6设置!D17,V6设置!D25)</f>
        <v>0</v>
      </c>
      <c r="E10" s="92" t="str">
        <f>IF(AND($E$4="否",A10="练前餐"),"休息日不安排",IF(A10="练前餐","纯碳水","执行"))</f>
        <v>纯碳水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</row>
    <row r="11" ht="13.9" spans="1:45">
      <c r="A11" s="58" t="s">
        <v>80</v>
      </c>
      <c r="B11" s="95">
        <f>IF($E$4="是",V6设置!B18,V6设置!B26)</f>
        <v>0.4</v>
      </c>
      <c r="C11" s="95">
        <f>IF($E$4="是",V6设置!C18,V6设置!C26)</f>
        <v>0.4</v>
      </c>
      <c r="D11" s="95">
        <f>IF($E$4="是",V6设置!D18,V6设置!D26)</f>
        <v>0.4</v>
      </c>
      <c r="E11" s="92" t="str">
        <f>IF(AND($E$4="否",A11="练前餐"),"休息日不安排",IF(A11="练前餐","纯碳水","执行"))</f>
        <v>执行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</row>
    <row r="12" ht="13.85" spans="1:4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</row>
    <row r="13" ht="24" customHeight="1" spans="1:45">
      <c r="A13" s="96" t="s">
        <v>105</v>
      </c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</row>
    <row r="14" ht="32" customHeight="1" spans="1:45">
      <c r="A14" s="97" t="s">
        <v>69</v>
      </c>
      <c r="B14" s="97" t="s">
        <v>106</v>
      </c>
      <c r="C14" s="97" t="s">
        <v>107</v>
      </c>
      <c r="D14" s="97" t="s">
        <v>108</v>
      </c>
      <c r="E14" s="97" t="s">
        <v>109</v>
      </c>
      <c r="F14" s="97" t="s">
        <v>110</v>
      </c>
      <c r="G14" s="97" t="s">
        <v>111</v>
      </c>
      <c r="H14" s="97" t="s">
        <v>112</v>
      </c>
      <c r="I14" s="97" t="s">
        <v>113</v>
      </c>
      <c r="J14" s="97" t="s">
        <v>114</v>
      </c>
      <c r="K14" s="97" t="s">
        <v>115</v>
      </c>
      <c r="L14" s="97" t="s">
        <v>116</v>
      </c>
      <c r="M14" s="97" t="s">
        <v>117</v>
      </c>
      <c r="N14" s="97" t="s">
        <v>118</v>
      </c>
      <c r="O14" s="97" t="s">
        <v>119</v>
      </c>
      <c r="P14" s="97" t="s">
        <v>120</v>
      </c>
      <c r="Q14" s="97" t="s">
        <v>121</v>
      </c>
      <c r="R14" s="97" t="s">
        <v>122</v>
      </c>
      <c r="S14" s="97" t="s">
        <v>123</v>
      </c>
      <c r="T14" s="97" t="s">
        <v>124</v>
      </c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</row>
    <row r="15" ht="23" customHeight="1" spans="1:45">
      <c r="A15" s="98" t="s">
        <v>74</v>
      </c>
      <c r="B15" s="99" t="s">
        <v>125</v>
      </c>
      <c r="C15" s="100">
        <f>B8</f>
        <v>0.25</v>
      </c>
      <c r="D15" s="101">
        <f>C8</f>
        <v>0.2</v>
      </c>
      <c r="E15" s="101">
        <f>D8</f>
        <v>0.2</v>
      </c>
      <c r="F15" s="102" t="s">
        <v>126</v>
      </c>
      <c r="G15" s="103" t="s">
        <v>127</v>
      </c>
      <c r="H15" s="104">
        <f>G50</f>
        <v>165.360397680199</v>
      </c>
      <c r="I15" s="102" t="s">
        <v>128</v>
      </c>
      <c r="J15" s="103" t="s">
        <v>129</v>
      </c>
      <c r="K15" s="104">
        <f>J50</f>
        <v>155.498349574572</v>
      </c>
      <c r="L15" s="102" t="s">
        <v>130</v>
      </c>
      <c r="M15" s="104">
        <f>L50</f>
        <v>0</v>
      </c>
      <c r="N15" s="102" t="s">
        <v>131</v>
      </c>
      <c r="O15" s="105">
        <v>100</v>
      </c>
      <c r="P15" s="104">
        <f>O50</f>
        <v>39.4217494509541</v>
      </c>
      <c r="Q15" s="105">
        <f>P50</f>
        <v>23.8</v>
      </c>
      <c r="R15" s="105">
        <f>Q50</f>
        <v>15.9151953551374</v>
      </c>
      <c r="S15" s="106">
        <f>R50</f>
        <v>396.123756000053</v>
      </c>
      <c r="T15" s="103" t="str">
        <f>S50</f>
        <v>顺序</v>
      </c>
    </row>
    <row r="16" ht="21" customHeight="1" spans="1:45">
      <c r="A16" s="107"/>
      <c r="B16" s="99" t="s">
        <v>132</v>
      </c>
      <c r="C16" s="103"/>
      <c r="D16" s="103"/>
      <c r="E16" s="103"/>
      <c r="F16" s="102" t="s">
        <v>133</v>
      </c>
      <c r="G16" s="108" t="str">
        <f>IF(F16="-","-",IFERROR(VLOOKUP(F16,食物数据库V3!$B$6:$K$59,8,FALSE),"-"))</f>
        <v>生重</v>
      </c>
      <c r="H16" s="105">
        <f>C60</f>
        <v>42.4001019692817</v>
      </c>
      <c r="I16" s="102" t="s">
        <v>134</v>
      </c>
      <c r="J16" s="108" t="str">
        <f>IF(I16="-","-",IFERROR(VLOOKUP(I16,食物数据库V3!$B$6:$K$59,8,FALSE),"-"))</f>
        <v>熟重</v>
      </c>
      <c r="K16" s="105">
        <f>I60</f>
        <v>576.258589599883</v>
      </c>
      <c r="L16" s="102" t="s">
        <v>135</v>
      </c>
      <c r="M16" s="104">
        <f>O60</f>
        <v>0</v>
      </c>
      <c r="N16" s="103"/>
      <c r="O16" s="103"/>
      <c r="P16" s="103"/>
      <c r="Q16" s="103"/>
      <c r="R16" s="103"/>
      <c r="S16" s="103"/>
      <c r="T16" s="103"/>
    </row>
    <row r="17" ht="21" customHeight="1" spans="1:45">
      <c r="A17" s="107"/>
      <c r="B17" s="99" t="s">
        <v>136</v>
      </c>
      <c r="C17" s="103"/>
      <c r="D17" s="103"/>
      <c r="E17" s="103"/>
      <c r="F17" s="102" t="s">
        <v>137</v>
      </c>
      <c r="G17" s="108" t="str">
        <f>IF(F17="-","-",IFERROR(VLOOKUP(F17,食物数据库V3!$B$6:$K$59,8,FALSE),"-"))</f>
        <v>熟重</v>
      </c>
      <c r="H17" s="105">
        <f>E60</f>
        <v>73.9770200148258</v>
      </c>
      <c r="I17" s="102" t="s">
        <v>138</v>
      </c>
      <c r="J17" s="108" t="str">
        <f>IF(I17="-","-",IFERROR(VLOOKUP(I17,食物数据库V3!$B$6:$K$59,8,FALSE),"-"))</f>
        <v>熟重</v>
      </c>
      <c r="K17" s="105">
        <f>K60</f>
        <v>195.92792046396</v>
      </c>
      <c r="L17" s="102" t="s">
        <v>139</v>
      </c>
      <c r="M17" s="104">
        <f>Q60</f>
        <v>0</v>
      </c>
      <c r="N17" s="103"/>
      <c r="O17" s="103"/>
      <c r="P17" s="103"/>
      <c r="Q17" s="103"/>
      <c r="R17" s="103"/>
      <c r="S17" s="103"/>
      <c r="T17" s="103"/>
    </row>
    <row r="18" ht="21" customHeight="1" spans="1:45">
      <c r="A18" s="107"/>
      <c r="B18" s="99" t="s">
        <v>140</v>
      </c>
      <c r="C18" s="103"/>
      <c r="D18" s="103"/>
      <c r="E18" s="103"/>
      <c r="F18" s="102" t="s">
        <v>141</v>
      </c>
      <c r="G18" s="108" t="str">
        <f>IF(F18="-","-",IFERROR(VLOOKUP(F18,食物数据库V3!$B$6:$K$59,8,FALSE),"-"))</f>
        <v>熟重</v>
      </c>
      <c r="H18" s="105">
        <f>G60</f>
        <v>93.7042253521127</v>
      </c>
      <c r="I18" s="102"/>
      <c r="J18" s="108" t="str">
        <f>IF(I18="-","-",IFERROR(VLOOKUP(I18,食物数据库V3!$B$6:$K$59,8,FALSE),"-"))</f>
        <v>-</v>
      </c>
      <c r="K18" s="105">
        <f>M60</f>
        <v>0</v>
      </c>
      <c r="L18" s="102" t="s">
        <v>142</v>
      </c>
      <c r="M18" s="104">
        <f>S60</f>
        <v>0</v>
      </c>
      <c r="N18" s="103"/>
      <c r="O18" s="103"/>
      <c r="P18" s="103"/>
      <c r="Q18" s="103"/>
      <c r="R18" s="103"/>
      <c r="S18" s="103"/>
      <c r="T18" s="103"/>
    </row>
    <row r="19" ht="23" customHeight="1" spans="1:45">
      <c r="A19" s="98" t="s">
        <v>76</v>
      </c>
      <c r="B19" s="99" t="s">
        <v>125</v>
      </c>
      <c r="C19" s="100">
        <f>B9</f>
        <v>0.25</v>
      </c>
      <c r="D19" s="101">
        <f>C9</f>
        <v>0.4</v>
      </c>
      <c r="E19" s="101">
        <f>D9</f>
        <v>0.4</v>
      </c>
      <c r="F19" s="102" t="s">
        <v>141</v>
      </c>
      <c r="G19" s="103" t="s">
        <v>127</v>
      </c>
      <c r="H19" s="104">
        <f>G51</f>
        <v>79.037558685446</v>
      </c>
      <c r="I19" s="102" t="s">
        <v>143</v>
      </c>
      <c r="J19" s="103" t="s">
        <v>129</v>
      </c>
      <c r="K19" s="104">
        <f>J51</f>
        <v>181.568288518993</v>
      </c>
      <c r="L19" s="102" t="s">
        <v>130</v>
      </c>
      <c r="M19" s="104">
        <f>L51</f>
        <v>26.8446838099303</v>
      </c>
      <c r="N19" s="102" t="s">
        <v>144</v>
      </c>
      <c r="O19" s="105">
        <v>200</v>
      </c>
      <c r="P19" s="104">
        <f>O51</f>
        <v>37.7112676056338</v>
      </c>
      <c r="Q19" s="105">
        <f>P51</f>
        <v>47.6</v>
      </c>
      <c r="R19" s="105">
        <f>Q51</f>
        <v>30.6053208137715</v>
      </c>
      <c r="S19" s="106">
        <f>R51</f>
        <v>616.692957746479</v>
      </c>
      <c r="T19" s="103" t="str">
        <f>S51</f>
        <v>精确</v>
      </c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</row>
    <row r="20" ht="21" customHeight="1" spans="1:45">
      <c r="A20" s="107"/>
      <c r="B20" s="99" t="s">
        <v>132</v>
      </c>
      <c r="C20" s="103"/>
      <c r="D20" s="103"/>
      <c r="E20" s="103"/>
      <c r="F20" s="102" t="s">
        <v>141</v>
      </c>
      <c r="G20" s="108" t="str">
        <f>IF(F20="-","-",IFERROR(VLOOKUP(F20,食物数据库V3!$B$6:$K$59,8,FALSE),"-"))</f>
        <v>熟重</v>
      </c>
      <c r="H20" s="105">
        <f>C61</f>
        <v>79.037558685446</v>
      </c>
      <c r="I20" s="102" t="s">
        <v>143</v>
      </c>
      <c r="J20" s="108" t="str">
        <f>IF(I20="-","-",IFERROR(VLOOKUP(I20,食物数据库V3!$B$6:$K$59,8,FALSE),"-"))</f>
        <v>生重</v>
      </c>
      <c r="K20" s="105">
        <f>I61</f>
        <v>181.568288518993</v>
      </c>
      <c r="L20" s="102" t="s">
        <v>130</v>
      </c>
      <c r="M20" s="104">
        <f>O61</f>
        <v>26.8446838099303</v>
      </c>
      <c r="N20" s="103"/>
      <c r="O20" s="103"/>
      <c r="P20" s="103"/>
      <c r="Q20" s="103"/>
      <c r="R20" s="103"/>
      <c r="S20" s="103"/>
      <c r="T20" s="103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</row>
    <row r="21" ht="21" customHeight="1" spans="1:45">
      <c r="A21" s="107"/>
      <c r="B21" s="99" t="s">
        <v>136</v>
      </c>
      <c r="C21" s="103"/>
      <c r="D21" s="103"/>
      <c r="E21" s="103"/>
      <c r="F21" s="102" t="s">
        <v>126</v>
      </c>
      <c r="G21" s="108" t="str">
        <f>IF(F21="-","-",IFERROR(VLOOKUP(F21,食物数据库V3!$B$6:$K$59,8,FALSE),"-"))</f>
        <v>熟重</v>
      </c>
      <c r="H21" s="105">
        <f>E61</f>
        <v>139.478044739022</v>
      </c>
      <c r="I21" s="102" t="s">
        <v>145</v>
      </c>
      <c r="J21" s="108" t="str">
        <f>IF(I21="-","-",IFERROR(VLOOKUP(I21,食物数据库V3!$B$6:$K$59,8,FALSE),"-"))</f>
        <v>生重</v>
      </c>
      <c r="K21" s="105">
        <f>K61</f>
        <v>199.725117370892</v>
      </c>
      <c r="L21" s="102" t="s">
        <v>135</v>
      </c>
      <c r="M21" s="104">
        <f>Q61</f>
        <v>61.2892324427632</v>
      </c>
      <c r="N21" s="103"/>
      <c r="O21" s="103"/>
      <c r="P21" s="103"/>
      <c r="Q21" s="103"/>
      <c r="R21" s="103"/>
      <c r="S21" s="103"/>
      <c r="T21" s="103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</row>
    <row r="22" ht="21" customHeight="1" spans="1:45">
      <c r="A22" s="107"/>
      <c r="B22" s="99" t="s">
        <v>140</v>
      </c>
      <c r="C22" s="103"/>
      <c r="D22" s="103"/>
      <c r="E22" s="103"/>
      <c r="F22" s="102" t="s">
        <v>146</v>
      </c>
      <c r="G22" s="108" t="str">
        <f>IF(F22="-","-",IFERROR(VLOOKUP(F22,食物数据库V3!$B$6:$K$59,8,FALSE),"-"))</f>
        <v>熟重</v>
      </c>
      <c r="H22" s="105">
        <f>G61</f>
        <v>117.966505500666</v>
      </c>
      <c r="I22" s="102" t="s">
        <v>147</v>
      </c>
      <c r="J22" s="108" t="str">
        <f>IF(I22="-","-",IFERROR(VLOOKUP(I22,食物数据库V3!$B$6:$K$59,8,FALSE),"-"))</f>
        <v>熟重</v>
      </c>
      <c r="K22" s="105">
        <f>M61</f>
        <v>153.634705669917</v>
      </c>
      <c r="L22" s="102" t="s">
        <v>148</v>
      </c>
      <c r="M22" s="104">
        <f>S61</f>
        <v>182.616896666193</v>
      </c>
      <c r="N22" s="103"/>
      <c r="O22" s="103"/>
      <c r="P22" s="103"/>
      <c r="Q22" s="103"/>
      <c r="R22" s="103"/>
      <c r="S22" s="103"/>
      <c r="T22" s="103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</row>
    <row r="23" ht="23" customHeight="1" spans="1:45">
      <c r="A23" s="98" t="s">
        <v>78</v>
      </c>
      <c r="B23" s="99" t="s">
        <v>125</v>
      </c>
      <c r="C23" s="100">
        <f>B10</f>
        <v>0.1</v>
      </c>
      <c r="D23" s="101">
        <f>C10</f>
        <v>0</v>
      </c>
      <c r="E23" s="101">
        <f>D10</f>
        <v>0</v>
      </c>
      <c r="F23" s="102" t="s">
        <v>146</v>
      </c>
      <c r="G23" s="103" t="s">
        <v>127</v>
      </c>
      <c r="H23" s="104">
        <f>G52</f>
        <v>75.0472987176792</v>
      </c>
      <c r="I23" s="102" t="s">
        <v>55</v>
      </c>
      <c r="J23" s="103" t="s">
        <v>55</v>
      </c>
      <c r="K23" s="104">
        <f>J52</f>
        <v>0</v>
      </c>
      <c r="L23" s="102" t="s">
        <v>55</v>
      </c>
      <c r="M23" s="104">
        <f>L52</f>
        <v>0</v>
      </c>
      <c r="N23" s="102" t="s">
        <v>55</v>
      </c>
      <c r="O23" s="105">
        <v>0</v>
      </c>
      <c r="P23" s="104">
        <f>O52</f>
        <v>15.0845070422535</v>
      </c>
      <c r="Q23" s="105">
        <f>P52</f>
        <v>1.20075677948287</v>
      </c>
      <c r="R23" s="105">
        <f>Q52</f>
        <v>0.0750472987176792</v>
      </c>
      <c r="S23" s="106">
        <f>R52</f>
        <v>65.8164809754047</v>
      </c>
      <c r="T23" s="103" t="str">
        <f>S52</f>
        <v>纯碳水</v>
      </c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</row>
    <row r="24" ht="21" customHeight="1" spans="1:45">
      <c r="A24" s="107"/>
      <c r="B24" s="99" t="s">
        <v>132</v>
      </c>
      <c r="C24" s="103"/>
      <c r="D24" s="103"/>
      <c r="E24" s="103"/>
      <c r="F24" s="102" t="s">
        <v>146</v>
      </c>
      <c r="G24" s="108" t="str">
        <f>IF(F24="-","-",IFERROR(VLOOKUP(F24,食物数据库V3!$B$6:$K$59,8,FALSE),"-"))</f>
        <v>熟重</v>
      </c>
      <c r="H24" s="105">
        <f>C62</f>
        <v>75.0472987176792</v>
      </c>
      <c r="I24" s="102" t="s">
        <v>55</v>
      </c>
      <c r="J24" s="108" t="str">
        <f>IF(I24="-","-",IFERROR(VLOOKUP(I24,食物数据库V3!$B$6:$K$59,8,FALSE),"-"))</f>
        <v>-</v>
      </c>
      <c r="K24" s="105">
        <f>I62</f>
        <v>0</v>
      </c>
      <c r="L24" s="102" t="s">
        <v>55</v>
      </c>
      <c r="M24" s="104">
        <f>O62</f>
        <v>0</v>
      </c>
      <c r="N24" s="103"/>
      <c r="O24" s="103"/>
      <c r="P24" s="103"/>
      <c r="Q24" s="103"/>
      <c r="R24" s="103"/>
      <c r="S24" s="103"/>
      <c r="T24" s="103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</row>
    <row r="25" ht="21" customHeight="1" spans="1:45">
      <c r="A25" s="107"/>
      <c r="B25" s="99" t="s">
        <v>136</v>
      </c>
      <c r="C25" s="103"/>
      <c r="D25" s="103"/>
      <c r="E25" s="103"/>
      <c r="F25" s="102" t="s">
        <v>126</v>
      </c>
      <c r="G25" s="108" t="str">
        <f>IF(F25="-","-",IFERROR(VLOOKUP(F25,食物数据库V3!$B$6:$K$59,8,FALSE),"-"))</f>
        <v>熟重</v>
      </c>
      <c r="H25" s="105">
        <f>E62</f>
        <v>88.7323943661972</v>
      </c>
      <c r="I25" s="102" t="s">
        <v>55</v>
      </c>
      <c r="J25" s="108" t="str">
        <f>IF(I25="-","-",IFERROR(VLOOKUP(I25,食物数据库V3!$B$6:$K$59,8,FALSE),"-"))</f>
        <v>-</v>
      </c>
      <c r="K25" s="105">
        <f>K62</f>
        <v>0</v>
      </c>
      <c r="L25" s="102" t="s">
        <v>55</v>
      </c>
      <c r="M25" s="104">
        <f>Q62</f>
        <v>0</v>
      </c>
      <c r="N25" s="103"/>
      <c r="O25" s="103"/>
      <c r="P25" s="103"/>
      <c r="Q25" s="103"/>
      <c r="R25" s="103"/>
      <c r="S25" s="103"/>
      <c r="T25" s="103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</row>
    <row r="26" ht="21" customHeight="1" spans="1:45">
      <c r="A26" s="107"/>
      <c r="B26" s="99" t="s">
        <v>140</v>
      </c>
      <c r="C26" s="103"/>
      <c r="D26" s="103"/>
      <c r="E26" s="103"/>
      <c r="F26" s="102" t="s">
        <v>141</v>
      </c>
      <c r="G26" s="108" t="str">
        <f>IF(F26="-","-",IFERROR(VLOOKUP(F26,食物数据库V3!$B$6:$K$59,8,FALSE),"-"))</f>
        <v>熟重</v>
      </c>
      <c r="H26" s="105">
        <f>G62</f>
        <v>50.2816901408451</v>
      </c>
      <c r="I26" s="102" t="s">
        <v>55</v>
      </c>
      <c r="J26" s="108" t="str">
        <f>IF(I26="-","-",IFERROR(VLOOKUP(I26,食物数据库V3!$B$6:$K$59,8,FALSE),"-"))</f>
        <v>-</v>
      </c>
      <c r="K26" s="105">
        <f>M62</f>
        <v>0</v>
      </c>
      <c r="L26" s="102" t="s">
        <v>55</v>
      </c>
      <c r="M26" s="104">
        <f>S62</f>
        <v>0</v>
      </c>
      <c r="N26" s="103"/>
      <c r="O26" s="103"/>
      <c r="P26" s="103"/>
      <c r="Q26" s="103"/>
      <c r="R26" s="103"/>
      <c r="S26" s="103"/>
      <c r="T26" s="103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</row>
    <row r="27" ht="23" customHeight="1" spans="1:45">
      <c r="A27" s="98" t="s">
        <v>80</v>
      </c>
      <c r="B27" s="99" t="s">
        <v>125</v>
      </c>
      <c r="C27" s="100">
        <f>B11</f>
        <v>0.4</v>
      </c>
      <c r="D27" s="101">
        <f>C11</f>
        <v>0.4</v>
      </c>
      <c r="E27" s="101">
        <f>D11</f>
        <v>0.4</v>
      </c>
      <c r="F27" s="102" t="s">
        <v>149</v>
      </c>
      <c r="G27" s="103" t="s">
        <v>127</v>
      </c>
      <c r="H27" s="104">
        <f>G53</f>
        <v>152.363067292645</v>
      </c>
      <c r="I27" s="102" t="s">
        <v>143</v>
      </c>
      <c r="J27" s="103" t="s">
        <v>129</v>
      </c>
      <c r="K27" s="104">
        <f>J53</f>
        <v>172.861288945796</v>
      </c>
      <c r="L27" s="102" t="s">
        <v>130</v>
      </c>
      <c r="M27" s="104">
        <f>L53</f>
        <v>27.4600384122919</v>
      </c>
      <c r="N27" s="102" t="s">
        <v>131</v>
      </c>
      <c r="O27" s="105">
        <v>200</v>
      </c>
      <c r="P27" s="104">
        <f>O53</f>
        <v>60.3380281690141</v>
      </c>
      <c r="Q27" s="105">
        <f>P53</f>
        <v>47.6</v>
      </c>
      <c r="R27" s="105">
        <f>Q53</f>
        <v>30.6053208137715</v>
      </c>
      <c r="S27" s="106">
        <f>R53</f>
        <v>707.2</v>
      </c>
      <c r="T27" s="103" t="str">
        <f>S53</f>
        <v>精确</v>
      </c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</row>
    <row r="28" ht="21" customHeight="1" spans="1:45">
      <c r="A28" s="107"/>
      <c r="B28" s="99" t="s">
        <v>132</v>
      </c>
      <c r="C28" s="103"/>
      <c r="D28" s="103"/>
      <c r="E28" s="103"/>
      <c r="F28" s="102" t="s">
        <v>149</v>
      </c>
      <c r="G28" s="108" t="str">
        <f>IF(F28="-","-",IFERROR(VLOOKUP(F28,食物数据库V3!$B$6:$K$59,8,FALSE),"-"))</f>
        <v>熟重</v>
      </c>
      <c r="H28" s="105">
        <f>C63</f>
        <v>152.363067292645</v>
      </c>
      <c r="I28" s="102" t="s">
        <v>143</v>
      </c>
      <c r="J28" s="108" t="str">
        <f>IF(I28="-","-",IFERROR(VLOOKUP(I28,食物数据库V3!$B$6:$K$59,8,FALSE),"-"))</f>
        <v>生重</v>
      </c>
      <c r="K28" s="105">
        <f>I63</f>
        <v>172.861288945796</v>
      </c>
      <c r="L28" s="102" t="s">
        <v>130</v>
      </c>
      <c r="M28" s="104">
        <f>O63</f>
        <v>27.4600384122919</v>
      </c>
      <c r="N28" s="103"/>
      <c r="O28" s="103"/>
      <c r="P28" s="103"/>
      <c r="Q28" s="103"/>
      <c r="R28" s="103"/>
      <c r="S28" s="103"/>
      <c r="T28" s="103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</row>
    <row r="29" ht="21" customHeight="1" spans="1:45">
      <c r="A29" s="107"/>
      <c r="B29" s="99" t="s">
        <v>136</v>
      </c>
      <c r="C29" s="103"/>
      <c r="D29" s="103"/>
      <c r="E29" s="103"/>
      <c r="F29" s="102" t="s">
        <v>141</v>
      </c>
      <c r="G29" s="108" t="str">
        <f>IF(F29="-","-",IFERROR(VLOOKUP(F29,食物数据库V3!$B$6:$K$59,8,FALSE),"-"))</f>
        <v>熟重</v>
      </c>
      <c r="H29" s="105">
        <f>E63</f>
        <v>137.12676056338</v>
      </c>
      <c r="I29" s="102" t="s">
        <v>145</v>
      </c>
      <c r="J29" s="108" t="str">
        <f>IF(I29="-","-",IFERROR(VLOOKUP(I29,食物数据库V3!$B$6:$K$59,8,FALSE),"-"))</f>
        <v>生重</v>
      </c>
      <c r="K29" s="105">
        <f>K63</f>
        <v>190.147417840376</v>
      </c>
      <c r="L29" s="102" t="s">
        <v>135</v>
      </c>
      <c r="M29" s="104">
        <f>Q63</f>
        <v>62.6941516262373</v>
      </c>
      <c r="N29" s="103"/>
      <c r="O29" s="103"/>
      <c r="P29" s="103"/>
      <c r="Q29" s="103"/>
      <c r="R29" s="103"/>
      <c r="S29" s="103"/>
      <c r="T29" s="103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</row>
    <row r="30" ht="21" customHeight="1" spans="1:45">
      <c r="A30" s="107"/>
      <c r="B30" s="99" t="s">
        <v>140</v>
      </c>
      <c r="C30" s="103"/>
      <c r="D30" s="103"/>
      <c r="E30" s="103"/>
      <c r="F30" s="102" t="s">
        <v>146</v>
      </c>
      <c r="G30" s="108" t="str">
        <f>IF(F30="-","-",IFERROR(VLOOKUP(F30,食物数据库V3!$B$6:$K$59,8,FALSE),"-"))</f>
        <v>熟重</v>
      </c>
      <c r="H30" s="105">
        <f>G63</f>
        <v>204.666806811015</v>
      </c>
      <c r="I30" s="102" t="s">
        <v>147</v>
      </c>
      <c r="J30" s="108" t="str">
        <f>IF(I30="-","-",IFERROR(VLOOKUP(I30,食物数据库V3!$B$6:$K$59,8,FALSE),"-"))</f>
        <v>熟重</v>
      </c>
      <c r="K30" s="105">
        <f>M63</f>
        <v>146.267244492597</v>
      </c>
      <c r="L30" s="102" t="s">
        <v>142</v>
      </c>
      <c r="M30" s="104">
        <f>S63</f>
        <v>54.9200768245839</v>
      </c>
      <c r="N30" s="103"/>
      <c r="O30" s="103"/>
      <c r="P30" s="103"/>
      <c r="Q30" s="103"/>
      <c r="R30" s="103"/>
      <c r="S30" s="103"/>
      <c r="T30" s="103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</row>
    <row r="31" ht="15" spans="1:45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</row>
    <row r="32" ht="24" customHeight="1" spans="1:45">
      <c r="A32" s="110" t="s">
        <v>150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</row>
    <row r="33" ht="26" customHeight="1" spans="1:45">
      <c r="A33" s="111" t="s">
        <v>151</v>
      </c>
      <c r="B33" s="111" t="s">
        <v>152</v>
      </c>
      <c r="C33" s="111" t="s">
        <v>153</v>
      </c>
      <c r="D33" s="111" t="s">
        <v>154</v>
      </c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</row>
    <row r="34" ht="22" customHeight="1" spans="1:45">
      <c r="A34" s="113" t="s">
        <v>47</v>
      </c>
      <c r="B34" s="114">
        <f>$K$4</f>
        <v>150.845070422535</v>
      </c>
      <c r="C34" s="114">
        <f>SUM(P15,P19,P23,P27)</f>
        <v>152.555552267855</v>
      </c>
      <c r="D34" s="115">
        <f>C34-B34</f>
        <v>1.71048184532029</v>
      </c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</row>
    <row r="35" ht="26" customHeight="1" spans="1:45">
      <c r="A35" s="113" t="s">
        <v>48</v>
      </c>
      <c r="B35" s="114">
        <f>$N$4</f>
        <v>119</v>
      </c>
      <c r="C35" s="114">
        <f>SUM(Q15,Q19,Q23,Q27)</f>
        <v>120.200756779483</v>
      </c>
      <c r="D35" s="115">
        <f>C35-B35</f>
        <v>1.20075677948286</v>
      </c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</row>
    <row r="36" ht="26" customHeight="1" spans="1:45">
      <c r="A36" s="113" t="s">
        <v>49</v>
      </c>
      <c r="B36" s="114">
        <f>$Q$4</f>
        <v>76.5133020344288</v>
      </c>
      <c r="C36" s="114">
        <f>SUM(R15,R19,R23,R27)</f>
        <v>77.2008842813981</v>
      </c>
      <c r="D36" s="115">
        <f>C36-B36</f>
        <v>0.687582246969271</v>
      </c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</row>
    <row r="37" ht="26" customHeight="1" spans="1:45">
      <c r="A37" s="113" t="s">
        <v>155</v>
      </c>
      <c r="B37" s="116">
        <f>$T$4</f>
        <v>1768</v>
      </c>
      <c r="C37" s="116">
        <f>SUM(S15,S19,S23,S27)</f>
        <v>1785.83319472194</v>
      </c>
      <c r="D37" s="117">
        <f>C37-B37</f>
        <v>17.8331947219363</v>
      </c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</row>
    <row r="38" ht="26" customHeight="1" spans="1:45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</row>
    <row r="39" ht="24" customHeight="1" spans="1:45">
      <c r="A39" s="110" t="s">
        <v>156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</row>
    <row r="40" ht="26" customHeight="1" spans="1:45">
      <c r="A40" s="118" t="s">
        <v>157</v>
      </c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</row>
    <row r="41" ht="26" customHeight="1" spans="1:45">
      <c r="A41" s="118" t="s">
        <v>158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</row>
    <row r="42" ht="26" customHeight="1" spans="1:45">
      <c r="A42" s="118" t="s">
        <v>159</v>
      </c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</row>
    <row r="43" ht="26" customHeight="1" spans="1:45">
      <c r="A43" s="118" t="s">
        <v>160</v>
      </c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</row>
    <row r="44" ht="26" customHeight="1" spans="1:45">
      <c r="A44" s="118" t="s">
        <v>161</v>
      </c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</row>
    <row r="45" ht="26" customHeight="1" spans="1:45">
      <c r="A45" s="118" t="s">
        <v>162</v>
      </c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</row>
    <row r="46" ht="26" customHeight="1" spans="1:45">
      <c r="A46" s="118" t="s">
        <v>163</v>
      </c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</row>
    <row r="50" ht="13.9" hidden="1" spans="1:45">
      <c r="A50" s="58" t="str">
        <f>A15</f>
        <v>早餐</v>
      </c>
      <c r="B50" s="120">
        <f>C15</f>
        <v>0.25</v>
      </c>
      <c r="C50" s="120">
        <f>D15</f>
        <v>0.2</v>
      </c>
      <c r="D50" s="120">
        <f>E15</f>
        <v>0.2</v>
      </c>
      <c r="E50" s="91" t="str">
        <f>F15</f>
        <v>土豆（熟）</v>
      </c>
      <c r="F50" s="91" t="str">
        <f>G15</f>
        <v>熟重</v>
      </c>
      <c r="G50" s="59">
        <f>AO50*AR50</f>
        <v>165.360397680199</v>
      </c>
      <c r="H50" s="91" t="str">
        <f>I15</f>
        <v>鸡蛋</v>
      </c>
      <c r="I50" s="91" t="str">
        <f>J15</f>
        <v>生重</v>
      </c>
      <c r="J50" s="59">
        <f>AP50*AS50</f>
        <v>155.498349574572</v>
      </c>
      <c r="K50" s="91" t="str">
        <f>L15</f>
        <v>橄榄油</v>
      </c>
      <c r="L50" s="59">
        <f>AQ50</f>
        <v>0</v>
      </c>
      <c r="M50" s="91" t="str">
        <f>N15</f>
        <v>胡萝卜</v>
      </c>
      <c r="N50" s="121">
        <f>O15</f>
        <v>100</v>
      </c>
      <c r="O50" s="59">
        <f>AO50*U50/100+AP50*X50/100+AQ50*AA50/100+AD50</f>
        <v>39.4217494509541</v>
      </c>
      <c r="P50" s="59">
        <f>AO50*V50/100+AP50*Y50/100+AQ50*AB50/100+AE50</f>
        <v>23.8</v>
      </c>
      <c r="Q50" s="59">
        <f>AO50*W50/100+AP50*Z50/100+AQ50*AC50/100+AF50</f>
        <v>15.9151953551374</v>
      </c>
      <c r="R50" s="94">
        <f>O50*4+P50*4+Q50*9</f>
        <v>396.123756000053</v>
      </c>
      <c r="S50" s="92" t="str">
        <f>AN50</f>
        <v>顺序</v>
      </c>
      <c r="T50" s="56"/>
      <c r="U50" s="64">
        <f>IFERROR(VLOOKUP(E50,食物数据库V3!$B$6:$K$59,2,FALSE),0)</f>
        <v>17</v>
      </c>
      <c r="V50" s="64">
        <f>IFERROR(VLOOKUP(E50,食物数据库V3!$B$6:$K$59,3,FALSE),0)</f>
        <v>2</v>
      </c>
      <c r="W50" s="64">
        <f>IFERROR(VLOOKUP(E50,食物数据库V3!$B$6:$K$59,4,FALSE),0)</f>
        <v>0.1</v>
      </c>
      <c r="X50" s="64">
        <f>IF(H50="-",0,IFERROR(VLOOKUP(H50,食物数据库V3!$B$6:$K$59,2,FALSE),0))</f>
        <v>1.1</v>
      </c>
      <c r="Y50" s="64">
        <f>IF(H50="-",0,IFERROR(VLOOKUP(H50,食物数据库V3!$B$6:$K$59,3,FALSE),0))</f>
        <v>12.6</v>
      </c>
      <c r="Z50" s="64">
        <f>IF(H50="-",0,IFERROR(VLOOKUP(H50,食物数据库V3!$B$6:$K$59,4,FALSE),0))</f>
        <v>10</v>
      </c>
      <c r="AA50" s="64">
        <f>IF(K50="-",0,IFERROR(VLOOKUP(K50,食物数据库V3!$B$6:$K$59,2,FALSE),0))</f>
        <v>0</v>
      </c>
      <c r="AB50" s="64">
        <f>IF(K50="-",0,IFERROR(VLOOKUP(K50,食物数据库V3!$B$6:$K$59,3,FALSE),0))</f>
        <v>0</v>
      </c>
      <c r="AC50" s="64">
        <f>IF(K50="-",0,IFERROR(VLOOKUP(K50,食物数据库V3!$B$6:$K$59,4,FALSE),0))</f>
        <v>100</v>
      </c>
      <c r="AD50" s="64">
        <f>IF(M50="-",0,IFERROR(N50*VLOOKUP(M50,食物数据库V3!$B$6:$K$59,2,FALSE)/100,0))</f>
        <v>9.6</v>
      </c>
      <c r="AE50" s="64">
        <f>IF(M50="-",0,IFERROR(N50*VLOOKUP(M50,食物数据库V3!$B$6:$K$59,3,FALSE)/100,0))</f>
        <v>0.9</v>
      </c>
      <c r="AF50" s="64">
        <f>IF(M50="-",0,IFERROR(N50*VLOOKUP(M50,食物数据库V3!$B$6:$K$59,4,FALSE)/100,0))</f>
        <v>0.2</v>
      </c>
      <c r="AG50" s="64">
        <f>MAX(0,$K$4*B50-AD50)</f>
        <v>28.1112676056338</v>
      </c>
      <c r="AH50" s="64">
        <f>MAX(0,$N$4*C50-AE50)</f>
        <v>22.9</v>
      </c>
      <c r="AI50" s="64">
        <f>MAX(0,$Q$4*D50-AF50)</f>
        <v>15.1026604068858</v>
      </c>
      <c r="AJ50" s="64">
        <f>U50*(Y50*AC50-Z50*AB50)-X50*(V50*AC50-Z50*W50)+AA50*(V50*Z50-Y50*W50)</f>
        <v>21201.1</v>
      </c>
      <c r="AK50" s="64">
        <f>IFERROR((AG50*(Y50*AC50-Z50*AB50)-X50*(AH50*AC50-AB50*AI50)+AA50*(AH50*Z50-Y50*AI50))/AJ50*100,0)</f>
        <v>155.186274217369</v>
      </c>
      <c r="AL50" s="64">
        <f>IFERROR((U50*(AH50*AC50-AB50*AI50)-AG50*(V50*AC50-AB50*W50)+AA50*(V50*AI50-AH50*W50))/AJ50*100,0)</f>
        <v>157.103860077417</v>
      </c>
      <c r="AM50" s="64">
        <f>IFERROR((U50*(Y50*AI50-AH50*Z50)-X50*(V50*AI50-AH50*W50)+AG50*(V50*Z50-Y50*W50))/AJ50*100,0)</f>
        <v>-0.76369546302145</v>
      </c>
      <c r="AN50" s="64" t="str">
        <f>IF(AND(ABS(AJ50)&gt;0.000001,AK50&gt;=0,AL50&gt;=0,AM50&gt;=0,AK50&lt;=2000,AL50&lt;=2000,AM50&lt;=500),"精确","顺序")</f>
        <v>顺序</v>
      </c>
      <c r="AO50" s="64">
        <f>IF(AN50="精确",AK50,MAX(0,IFERROR(AG50/U50*100,0)))</f>
        <v>165.360397680199</v>
      </c>
      <c r="AP50" s="64">
        <f>IF(AN50="精确",AL50,MAX(0,IFERROR((AH50-AO50*V50/100)/Y50*100,0)))</f>
        <v>155.498349574572</v>
      </c>
      <c r="AQ50" s="64">
        <f>IF(AN50="精确",AM50,MAX(0,IFERROR((AI50-AO50*W50/100-AP50*Z50/100)/AC50*100,0)))</f>
        <v>0</v>
      </c>
      <c r="AR50" s="64">
        <f>IF(OR(F50="",F50="-",IFERROR(VLOOKUP(E50,食物数据库V3!$B$6:$K$59,7,FALSE),"无需换算")="无需换算"),1,IF(F50=IFERROR(VLOOKUP(E50,食物数据库V3!$B$6:$K$59,7,FALSE),F50),1,IF(F50="熟重",IFERROR(VLOOKUP(E50,食物数据库V3!$B$6:$K$59,9,FALSE),1),1/IFERROR(VLOOKUP(E50,食物数据库V3!$B$6:$K$59,9,FALSE),1))))</f>
        <v>1</v>
      </c>
      <c r="AS50" s="64">
        <f>IF(OR(I50="",I50="-",IFERROR(VLOOKUP(H50,食物数据库V3!$B$6:$K$59,7,FALSE),"无需换算")="无需换算"),1,IF(I50=IFERROR(VLOOKUP(H50,食物数据库V3!$B$6:$K$59,7,FALSE),I50),1,IF(I50="熟重",IFERROR(VLOOKUP(H50,食物数据库V3!$B$6:$K$59,9,FALSE),1),1/IFERROR(VLOOKUP(H50,食物数据库V3!$B$6:$K$59,9,FALSE),1))))</f>
        <v>1</v>
      </c>
    </row>
    <row r="51" ht="13.9" hidden="1" spans="1:45">
      <c r="A51" s="58" t="str">
        <f>A19</f>
        <v>午餐</v>
      </c>
      <c r="B51" s="120">
        <f>C19</f>
        <v>0.25</v>
      </c>
      <c r="C51" s="120">
        <f>D19</f>
        <v>0.4</v>
      </c>
      <c r="D51" s="120">
        <f>E19</f>
        <v>0.4</v>
      </c>
      <c r="E51" s="91" t="str">
        <f>F19</f>
        <v>熟米饭</v>
      </c>
      <c r="F51" s="91" t="str">
        <f>G19</f>
        <v>熟重</v>
      </c>
      <c r="G51" s="59">
        <f>AO51*AR51</f>
        <v>79.037558685446</v>
      </c>
      <c r="H51" s="91" t="str">
        <f>I19</f>
        <v>鸡胸肉（生）</v>
      </c>
      <c r="I51" s="91" t="str">
        <f>J19</f>
        <v>生重</v>
      </c>
      <c r="J51" s="59">
        <f>AP51*AS51</f>
        <v>181.568288518993</v>
      </c>
      <c r="K51" s="91" t="str">
        <f>L19</f>
        <v>橄榄油</v>
      </c>
      <c r="L51" s="59">
        <f>AQ51</f>
        <v>26.8446838099303</v>
      </c>
      <c r="M51" s="91" t="str">
        <f>N19</f>
        <v>西兰花</v>
      </c>
      <c r="N51" s="121">
        <f>O19</f>
        <v>200</v>
      </c>
      <c r="O51" s="59">
        <f>AO51*U51/100+AP51*X51/100+AQ51*AA51/100+AD51</f>
        <v>37.7112676056338</v>
      </c>
      <c r="P51" s="59">
        <f>AO51*V51/100+AP51*Y51/100+AQ51*AB51/100+AE51</f>
        <v>47.6</v>
      </c>
      <c r="Q51" s="59">
        <f>AO51*W51/100+AP51*Z51/100+AQ51*AC51/100+AF51</f>
        <v>30.6053208137715</v>
      </c>
      <c r="R51" s="94">
        <f>O51*4+P51*4+Q51*9</f>
        <v>616.692957746479</v>
      </c>
      <c r="S51" s="92" t="str">
        <f>AN51</f>
        <v>精确</v>
      </c>
      <c r="T51" s="56"/>
      <c r="U51" s="64">
        <f>IFERROR(VLOOKUP(E51,食物数据库V3!$B$6:$K$59,2,FALSE),0)</f>
        <v>30</v>
      </c>
      <c r="V51" s="64">
        <f>IFERROR(VLOOKUP(E51,食物数据库V3!$B$6:$K$59,3,FALSE),0)</f>
        <v>2.6</v>
      </c>
      <c r="W51" s="64">
        <f>IFERROR(VLOOKUP(E51,食物数据库V3!$B$6:$K$59,4,FALSE),0)</f>
        <v>0.3</v>
      </c>
      <c r="X51" s="64">
        <f>IF(H51="-",0,IFERROR(VLOOKUP(H51,食物数据库V3!$B$6:$K$59,2,FALSE),0))</f>
        <v>0</v>
      </c>
      <c r="Y51" s="64">
        <f>IF(H51="-",0,IFERROR(VLOOKUP(H51,食物数据库V3!$B$6:$K$59,3,FALSE),0))</f>
        <v>22</v>
      </c>
      <c r="Z51" s="64">
        <f>IF(H51="-",0,IFERROR(VLOOKUP(H51,食物数据库V3!$B$6:$K$59,4,FALSE),0))</f>
        <v>1.5</v>
      </c>
      <c r="AA51" s="64">
        <f>IF(K51="-",0,IFERROR(VLOOKUP(K51,食物数据库V3!$B$6:$K$59,2,FALSE),0))</f>
        <v>0</v>
      </c>
      <c r="AB51" s="64">
        <f>IF(K51="-",0,IFERROR(VLOOKUP(K51,食物数据库V3!$B$6:$K$59,3,FALSE),0))</f>
        <v>0</v>
      </c>
      <c r="AC51" s="64">
        <f>IF(K51="-",0,IFERROR(VLOOKUP(K51,食物数据库V3!$B$6:$K$59,4,FALSE),0))</f>
        <v>100</v>
      </c>
      <c r="AD51" s="64">
        <f>IF(M51="-",0,IFERROR(N51*VLOOKUP(M51,食物数据库V3!$B$6:$K$59,2,FALSE)/100,0))</f>
        <v>14</v>
      </c>
      <c r="AE51" s="64">
        <f>IF(M51="-",0,IFERROR(N51*VLOOKUP(M51,食物数据库V3!$B$6:$K$59,3,FALSE)/100,0))</f>
        <v>5.6</v>
      </c>
      <c r="AF51" s="64">
        <f>IF(M51="-",0,IFERROR(N51*VLOOKUP(M51,食物数据库V3!$B$6:$K$59,4,FALSE)/100,0))</f>
        <v>0.8</v>
      </c>
      <c r="AG51" s="64">
        <f>MAX(0,$K$4*B51-AD51)</f>
        <v>23.7112676056338</v>
      </c>
      <c r="AH51" s="64">
        <f>MAX(0,$N$4*C51-AE51)</f>
        <v>42</v>
      </c>
      <c r="AI51" s="64">
        <f>MAX(0,$Q$4*D51-AF51)</f>
        <v>29.8053208137715</v>
      </c>
      <c r="AJ51" s="64">
        <f>U51*(Y51*AC51-Z51*AB51)-X51*(V51*AC51-Z51*W51)+AA51*(V51*Z51-Y51*W51)</f>
        <v>66000</v>
      </c>
      <c r="AK51" s="64">
        <f>IFERROR((AG51*(Y51*AC51-Z51*AB51)-X51*(AH51*AC51-AB51*AI51)+AA51*(AH51*Z51-Y51*AI51))/AJ51*100,0)</f>
        <v>79.037558685446</v>
      </c>
      <c r="AL51" s="64">
        <f>IFERROR((U51*(AH51*AC51-AB51*AI51)-AG51*(V51*AC51-AB51*W51)+AA51*(V51*AI51-AH51*W51))/AJ51*100,0)</f>
        <v>181.568288518993</v>
      </c>
      <c r="AM51" s="64">
        <f>IFERROR((U51*(Y51*AI51-AH51*Z51)-X51*(V51*AI51-AH51*W51)+AG51*(V51*Z51-Y51*W51))/AJ51*100,0)</f>
        <v>26.8446838099303</v>
      </c>
      <c r="AN51" s="64" t="str">
        <f>IF(AND(ABS(AJ51)&gt;0.000001,AK51&gt;=0,AL51&gt;=0,AM51&gt;=0,AK51&lt;=2000,AL51&lt;=2000,AM51&lt;=500),"精确","顺序")</f>
        <v>精确</v>
      </c>
      <c r="AO51" s="64">
        <f>IF(AN51="精确",AK51,MAX(0,IFERROR(AG51/U51*100,0)))</f>
        <v>79.037558685446</v>
      </c>
      <c r="AP51" s="64">
        <f>IF(AN51="精确",AL51,MAX(0,IFERROR((AH51-AO51*V51/100)/Y51*100,0)))</f>
        <v>181.568288518993</v>
      </c>
      <c r="AQ51" s="64">
        <f>IF(AN51="精确",AM51,MAX(0,IFERROR((AI51-AO51*W51/100-AP51*Z51/100)/AC51*100,0)))</f>
        <v>26.8446838099303</v>
      </c>
      <c r="AR51" s="64">
        <f>IF(OR(F51="",F51="-",IFERROR(VLOOKUP(E51,食物数据库V3!$B$6:$K$59,7,FALSE),"无需换算")="无需换算"),1,IF(F51=IFERROR(VLOOKUP(E51,食物数据库V3!$B$6:$K$59,7,FALSE),F51),1,IF(F51="熟重",IFERROR(VLOOKUP(E51,食物数据库V3!$B$6:$K$59,9,FALSE),1),1/IFERROR(VLOOKUP(E51,食物数据库V3!$B$6:$K$59,9,FALSE),1))))</f>
        <v>1</v>
      </c>
      <c r="AS51" s="64">
        <f>IF(OR(I51="",I51="-",IFERROR(VLOOKUP(H51,食物数据库V3!$B$6:$K$59,7,FALSE),"无需换算")="无需换算"),1,IF(I51=IFERROR(VLOOKUP(H51,食物数据库V3!$B$6:$K$59,7,FALSE),I51),1,IF(I51="熟重",IFERROR(VLOOKUP(H51,食物数据库V3!$B$6:$K$59,9,FALSE),1),1/IFERROR(VLOOKUP(H51,食物数据库V3!$B$6:$K$59,9,FALSE),1))))</f>
        <v>1</v>
      </c>
    </row>
    <row r="52" ht="13.9" hidden="1" spans="1:45">
      <c r="A52" s="58" t="str">
        <f>A23</f>
        <v>练前餐</v>
      </c>
      <c r="B52" s="120">
        <f>C23</f>
        <v>0.1</v>
      </c>
      <c r="C52" s="120">
        <f>D23</f>
        <v>0</v>
      </c>
      <c r="D52" s="120">
        <f>E23</f>
        <v>0</v>
      </c>
      <c r="E52" s="91" t="str">
        <f>F23</f>
        <v>红薯（熟）</v>
      </c>
      <c r="F52" s="91" t="str">
        <f>G23</f>
        <v>熟重</v>
      </c>
      <c r="G52" s="59">
        <f>AO52*AR52</f>
        <v>75.0472987176792</v>
      </c>
      <c r="H52" s="122" t="str">
        <f>I23</f>
        <v>-</v>
      </c>
      <c r="I52" s="122" t="str">
        <f>J23</f>
        <v>-</v>
      </c>
      <c r="J52" s="59">
        <f>AP52*AS52</f>
        <v>0</v>
      </c>
      <c r="K52" s="122" t="str">
        <f>L23</f>
        <v>-</v>
      </c>
      <c r="L52" s="59">
        <f>AQ52</f>
        <v>0</v>
      </c>
      <c r="M52" s="122" t="str">
        <f>N23</f>
        <v>-</v>
      </c>
      <c r="N52" s="123">
        <f>O23</f>
        <v>0</v>
      </c>
      <c r="O52" s="59">
        <f>AO52*U52/100+AP52*X52/100+AQ52*AA52/100+AD52</f>
        <v>15.0845070422535</v>
      </c>
      <c r="P52" s="59">
        <f>AO52*V52/100+AP52*Y52/100+AQ52*AB52/100+AE52</f>
        <v>1.20075677948287</v>
      </c>
      <c r="Q52" s="59">
        <f>AO52*W52/100+AP52*Z52/100+AQ52*AC52/100+AF52</f>
        <v>0.0750472987176792</v>
      </c>
      <c r="R52" s="94">
        <f>O52*4+P52*4+Q52*9</f>
        <v>65.8164809754047</v>
      </c>
      <c r="S52" s="92" t="str">
        <f>AN52</f>
        <v>纯碳水</v>
      </c>
      <c r="T52" s="56"/>
      <c r="U52" s="64">
        <f>IFERROR(VLOOKUP(E52,食物数据库V3!$B$6:$K$59,2,FALSE),0)</f>
        <v>20.1</v>
      </c>
      <c r="V52" s="64">
        <f>IFERROR(VLOOKUP(E52,食物数据库V3!$B$6:$K$59,3,FALSE),0)</f>
        <v>1.6</v>
      </c>
      <c r="W52" s="64">
        <f>IFERROR(VLOOKUP(E52,食物数据库V3!$B$6:$K$59,4,FALSE),0)</f>
        <v>0.1</v>
      </c>
      <c r="X52" s="64">
        <f>IF(H52="-",0,IFERROR(VLOOKUP(H52,食物数据库V3!$B$6:$K$59,2,FALSE),0))</f>
        <v>0</v>
      </c>
      <c r="Y52" s="64">
        <f>IF(H52="-",0,IFERROR(VLOOKUP(H52,食物数据库V3!$B$6:$K$59,3,FALSE),0))</f>
        <v>0</v>
      </c>
      <c r="Z52" s="64">
        <f>IF(H52="-",0,IFERROR(VLOOKUP(H52,食物数据库V3!$B$6:$K$59,4,FALSE),0))</f>
        <v>0</v>
      </c>
      <c r="AA52" s="64">
        <f>IF(K52="-",0,IFERROR(VLOOKUP(K52,食物数据库V3!$B$6:$K$59,2,FALSE),0))</f>
        <v>0</v>
      </c>
      <c r="AB52" s="64">
        <f>IF(K52="-",0,IFERROR(VLOOKUP(K52,食物数据库V3!$B$6:$K$59,3,FALSE),0))</f>
        <v>0</v>
      </c>
      <c r="AC52" s="64">
        <f>IF(K52="-",0,IFERROR(VLOOKUP(K52,食物数据库V3!$B$6:$K$59,4,FALSE),0))</f>
        <v>0</v>
      </c>
      <c r="AD52" s="64">
        <f>IF(M52="-",0,IFERROR(N52*VLOOKUP(M52,食物数据库V3!$B$6:$K$59,2,FALSE)/100,0))</f>
        <v>0</v>
      </c>
      <c r="AE52" s="64">
        <f>IF(M52="-",0,IFERROR(N52*VLOOKUP(M52,食物数据库V3!$B$6:$K$59,3,FALSE)/100,0))</f>
        <v>0</v>
      </c>
      <c r="AF52" s="64">
        <f>IF(M52="-",0,IFERROR(N52*VLOOKUP(M52,食物数据库V3!$B$6:$K$59,4,FALSE)/100,0))</f>
        <v>0</v>
      </c>
      <c r="AG52" s="64">
        <f>MAX(0,$K$4*B52-AD52)</f>
        <v>15.0845070422535</v>
      </c>
      <c r="AH52" s="64">
        <f>MAX(0,$N$4*C52-AE52)</f>
        <v>0</v>
      </c>
      <c r="AI52" s="64">
        <f>MAX(0,$Q$4*D52-AF52)</f>
        <v>0</v>
      </c>
      <c r="AJ52" s="64">
        <f>U52*(Y52*AC52-Z52*AB52)-X52*(V52*AC52-Z52*W52)+AA52*(V52*Z52-Y52*W52)</f>
        <v>0</v>
      </c>
      <c r="AK52" s="64">
        <f>IFERROR((AG52*(Y52*AC52-Z52*AB52)-X52*(AH52*AC52-AB52*AI52)+AA52*(AH52*Z52-Y52*AI52))/AJ52*100,0)</f>
        <v>0</v>
      </c>
      <c r="AL52" s="64">
        <f>IFERROR((U52*(AH52*AC52-AB52*AI52)-AG52*(V52*AC52-AB52*W52)+AA52*(V52*AI52-AH52*W52))/AJ52*100,0)</f>
        <v>0</v>
      </c>
      <c r="AM52" s="64">
        <f>IFERROR((U52*(Y52*AI52-AH52*Z52)-X52*(V52*AI52-AH52*W52)+AG52*(V52*Z52-Y52*W52))/AJ52*100,0)</f>
        <v>0</v>
      </c>
      <c r="AN52" s="64" t="str">
        <f>IF($E$4="是","纯碳水","不安排")</f>
        <v>纯碳水</v>
      </c>
      <c r="AO52" s="64">
        <f>IF($E$4="是",IFERROR($K$4*B52/U52*100,0),0)</f>
        <v>75.0472987176792</v>
      </c>
      <c r="AP52" s="64">
        <v>0</v>
      </c>
      <c r="AQ52" s="64">
        <v>0</v>
      </c>
      <c r="AR52" s="64">
        <f>IF(OR(F52="",F52="-",IFERROR(VLOOKUP(E52,食物数据库V3!$B$6:$K$59,7,FALSE),"无需换算")="无需换算"),1,IF(F52=IFERROR(VLOOKUP(E52,食物数据库V3!$B$6:$K$59,7,FALSE),F52),1,IF(F52="熟重",IFERROR(VLOOKUP(E52,食物数据库V3!$B$6:$K$59,9,FALSE),1),1/IFERROR(VLOOKUP(E52,食物数据库V3!$B$6:$K$59,9,FALSE),1))))</f>
        <v>1</v>
      </c>
      <c r="AS52" s="64">
        <v>1</v>
      </c>
    </row>
    <row r="53" ht="27.75" hidden="1" spans="1:45">
      <c r="A53" s="58" t="str">
        <f>A27</f>
        <v>晚饭/练后餐</v>
      </c>
      <c r="B53" s="120">
        <f>C27</f>
        <v>0.4</v>
      </c>
      <c r="C53" s="120">
        <f>D27</f>
        <v>0.4</v>
      </c>
      <c r="D53" s="120">
        <f>E27</f>
        <v>0.4</v>
      </c>
      <c r="E53" s="91" t="str">
        <f>F27</f>
        <v>荞麦面（熟）</v>
      </c>
      <c r="F53" s="91" t="str">
        <f>G27</f>
        <v>熟重</v>
      </c>
      <c r="G53" s="59">
        <f>AO53*AR53</f>
        <v>152.363067292645</v>
      </c>
      <c r="H53" s="91" t="str">
        <f>I27</f>
        <v>鸡胸肉（生）</v>
      </c>
      <c r="I53" s="91" t="str">
        <f>J27</f>
        <v>生重</v>
      </c>
      <c r="J53" s="59">
        <f>AP53*AS53</f>
        <v>172.861288945796</v>
      </c>
      <c r="K53" s="91" t="str">
        <f>L27</f>
        <v>橄榄油</v>
      </c>
      <c r="L53" s="59">
        <f>AQ53</f>
        <v>27.4600384122919</v>
      </c>
      <c r="M53" s="91" t="str">
        <f>N27</f>
        <v>胡萝卜</v>
      </c>
      <c r="N53" s="121">
        <f>O27</f>
        <v>200</v>
      </c>
      <c r="O53" s="59">
        <f>AO53*U53/100+AP53*X53/100+AQ53*AA53/100+AD53</f>
        <v>60.3380281690141</v>
      </c>
      <c r="P53" s="59">
        <f>AO53*V53/100+AP53*Y53/100+AQ53*AB53/100+AE53</f>
        <v>47.6</v>
      </c>
      <c r="Q53" s="59">
        <f>AO53*W53/100+AP53*Z53/100+AQ53*AC53/100+AF53</f>
        <v>30.6053208137715</v>
      </c>
      <c r="R53" s="94">
        <f>O53*4+P53*4+Q53*9</f>
        <v>707.2</v>
      </c>
      <c r="S53" s="92" t="str">
        <f>AN53</f>
        <v>精确</v>
      </c>
      <c r="T53" s="56"/>
      <c r="U53" s="64">
        <f>IFERROR(VLOOKUP(E53,食物数据库V3!$B$6:$K$59,2,FALSE),0)</f>
        <v>27</v>
      </c>
      <c r="V53" s="64">
        <f>IFERROR(VLOOKUP(E53,食物数据库V3!$B$6:$K$59,3,FALSE),0)</f>
        <v>5.1</v>
      </c>
      <c r="W53" s="64">
        <f>IFERROR(VLOOKUP(E53,食物数据库V3!$B$6:$K$59,4,FALSE),0)</f>
        <v>0.1</v>
      </c>
      <c r="X53" s="64">
        <f>IF(H53="-",0,IFERROR(VLOOKUP(H53,食物数据库V3!$B$6:$K$59,2,FALSE),0))</f>
        <v>0</v>
      </c>
      <c r="Y53" s="64">
        <f>IF(H53="-",0,IFERROR(VLOOKUP(H53,食物数据库V3!$B$6:$K$59,3,FALSE),0))</f>
        <v>22</v>
      </c>
      <c r="Z53" s="64">
        <f>IF(H53="-",0,IFERROR(VLOOKUP(H53,食物数据库V3!$B$6:$K$59,4,FALSE),0))</f>
        <v>1.5</v>
      </c>
      <c r="AA53" s="64">
        <f>IF(K53="-",0,IFERROR(VLOOKUP(K53,食物数据库V3!$B$6:$K$59,2,FALSE),0))</f>
        <v>0</v>
      </c>
      <c r="AB53" s="64">
        <f>IF(K53="-",0,IFERROR(VLOOKUP(K53,食物数据库V3!$B$6:$K$59,3,FALSE),0))</f>
        <v>0</v>
      </c>
      <c r="AC53" s="64">
        <f>IF(K53="-",0,IFERROR(VLOOKUP(K53,食物数据库V3!$B$6:$K$59,4,FALSE),0))</f>
        <v>100</v>
      </c>
      <c r="AD53" s="64">
        <f>IF(M53="-",0,IFERROR(N53*VLOOKUP(M53,食物数据库V3!$B$6:$K$59,2,FALSE)/100,0))</f>
        <v>19.2</v>
      </c>
      <c r="AE53" s="64">
        <f>IF(M53="-",0,IFERROR(N53*VLOOKUP(M53,食物数据库V3!$B$6:$K$59,3,FALSE)/100,0))</f>
        <v>1.8</v>
      </c>
      <c r="AF53" s="64">
        <f>IF(M53="-",0,IFERROR(N53*VLOOKUP(M53,食物数据库V3!$B$6:$K$59,4,FALSE)/100,0))</f>
        <v>0.4</v>
      </c>
      <c r="AG53" s="64">
        <f>MAX(0,$K$4*B53-AD53)</f>
        <v>41.1380281690141</v>
      </c>
      <c r="AH53" s="64">
        <f>MAX(0,$N$4*C53-AE53)</f>
        <v>45.8</v>
      </c>
      <c r="AI53" s="64">
        <f>MAX(0,$Q$4*D53-AF53)</f>
        <v>30.2053208137715</v>
      </c>
      <c r="AJ53" s="64">
        <f>U53*(Y53*AC53-Z53*AB53)-X53*(V53*AC53-Z53*W53)+AA53*(V53*Z53-Y53*W53)</f>
        <v>59400</v>
      </c>
      <c r="AK53" s="64">
        <f>IFERROR((AG53*(Y53*AC53-Z53*AB53)-X53*(AH53*AC53-AB53*AI53)+AA53*(AH53*Z53-Y53*AI53))/AJ53*100,0)</f>
        <v>152.363067292645</v>
      </c>
      <c r="AL53" s="64">
        <f>IFERROR((U53*(AH53*AC53-AB53*AI53)-AG53*(V53*AC53-AB53*W53)+AA53*(V53*AI53-AH53*W53))/AJ53*100,0)</f>
        <v>172.861288945796</v>
      </c>
      <c r="AM53" s="64">
        <f>IFERROR((U53*(Y53*AI53-AH53*Z53)-X53*(V53*AI53-AH53*W53)+AG53*(V53*Z53-Y53*W53))/AJ53*100,0)</f>
        <v>27.4600384122919</v>
      </c>
      <c r="AN53" s="64" t="str">
        <f>IF(AND(ABS(AJ53)&gt;0.000001,AK53&gt;=0,AL53&gt;=0,AM53&gt;=0,AK53&lt;=2000,AL53&lt;=2000,AM53&lt;=500),"精确","顺序")</f>
        <v>精确</v>
      </c>
      <c r="AO53" s="64">
        <f>IF(AN53="精确",AK53,MAX(0,IFERROR(AG53/U53*100,0)))</f>
        <v>152.363067292645</v>
      </c>
      <c r="AP53" s="64">
        <f>IF(AN53="精确",AL53,MAX(0,IFERROR((AH53-AO53*V53/100)/Y53*100,0)))</f>
        <v>172.861288945796</v>
      </c>
      <c r="AQ53" s="64">
        <f>IF(AN53="精确",AM53,MAX(0,IFERROR((AI53-AO53*W53/100-AP53*Z53/100)/AC53*100,0)))</f>
        <v>27.4600384122919</v>
      </c>
      <c r="AR53" s="64">
        <f>IF(OR(F53="",F53="-",IFERROR(VLOOKUP(E53,食物数据库V3!$B$6:$K$59,7,FALSE),"无需换算")="无需换算"),1,IF(F53=IFERROR(VLOOKUP(E53,食物数据库V3!$B$6:$K$59,7,FALSE),F53),1,IF(F53="熟重",IFERROR(VLOOKUP(E53,食物数据库V3!$B$6:$K$59,9,FALSE),1),1/IFERROR(VLOOKUP(E53,食物数据库V3!$B$6:$K$59,9,FALSE),1))))</f>
        <v>1</v>
      </c>
      <c r="AS53" s="64">
        <f>IF(OR(I53="",I53="-",IFERROR(VLOOKUP(H53,食物数据库V3!$B$6:$K$59,7,FALSE),"无需换算")="无需换算"),1,IF(I53=IFERROR(VLOOKUP(H53,食物数据库V3!$B$6:$K$59,7,FALSE),I53),1,IF(I53="熟重",IFERROR(VLOOKUP(H53,食物数据库V3!$B$6:$K$59,9,FALSE),1),1/IFERROR(VLOOKUP(H53,食物数据库V3!$B$6:$K$59,9,FALSE),1))))</f>
        <v>1</v>
      </c>
    </row>
    <row r="54" hidden="1"/>
    <row r="55" hidden="1"/>
    <row r="56" hidden="1"/>
    <row r="57" hidden="1"/>
    <row r="58" ht="15.75" hidden="1" spans="1:45">
      <c r="A58" s="57" t="s">
        <v>164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</row>
    <row r="59" ht="14.65" hidden="1" spans="1:45">
      <c r="A59" s="16" t="s">
        <v>69</v>
      </c>
      <c r="B59" s="16" t="s">
        <v>165</v>
      </c>
      <c r="C59" s="16" t="s">
        <v>166</v>
      </c>
      <c r="D59" s="16" t="s">
        <v>167</v>
      </c>
      <c r="E59" s="16" t="s">
        <v>166</v>
      </c>
      <c r="F59" s="16" t="s">
        <v>168</v>
      </c>
      <c r="G59" s="16" t="s">
        <v>166</v>
      </c>
      <c r="H59" s="16" t="s">
        <v>169</v>
      </c>
      <c r="I59" s="16" t="s">
        <v>166</v>
      </c>
      <c r="J59" s="16" t="s">
        <v>170</v>
      </c>
      <c r="K59" s="16" t="s">
        <v>166</v>
      </c>
      <c r="L59" s="16" t="s">
        <v>171</v>
      </c>
      <c r="M59" s="16" t="s">
        <v>166</v>
      </c>
      <c r="N59" s="16" t="s">
        <v>172</v>
      </c>
      <c r="O59" s="16" t="s">
        <v>166</v>
      </c>
      <c r="P59" s="16" t="s">
        <v>173</v>
      </c>
      <c r="Q59" s="16" t="s">
        <v>166</v>
      </c>
      <c r="R59" s="16" t="s">
        <v>174</v>
      </c>
      <c r="S59" s="16" t="s">
        <v>166</v>
      </c>
      <c r="T59" s="56"/>
    </row>
    <row r="60" ht="27.75" hidden="1" spans="1:45">
      <c r="A60" s="58" t="s">
        <v>74</v>
      </c>
      <c r="B60" s="91" t="str">
        <f>F16</f>
        <v>燕麦（干）</v>
      </c>
      <c r="C60" s="59">
        <f>IFERROR(($AO$50*$U$50/100)/VLOOKUP(B60,食物数据库V3!$B$6:$K$59,2,FALSE)*100*IF(IFERROR(VLOOKUP(B60,食物数据库V3!$B$6:$K$59,7,FALSE),"无需换算")="无需换算",1,IF(IFERROR(VLOOKUP(B60,食物数据库V3!$B$6:$K$59,8,FALSE),IFERROR(VLOOKUP(B60,食物数据库V3!$B$6:$K$59,7,FALSE),"熟重"))=IFERROR(VLOOKUP(B60,食物数据库V3!$B$6:$K$59,7,FALSE),"熟重"),1,IF(IFERROR(VLOOKUP(B60,食物数据库V3!$B$6:$K$59,8,FALSE),"熟重")="熟重",IFERROR(VLOOKUP(B60,食物数据库V3!$B$6:$K$59,9,FALSE),1),1/IFERROR(VLOOKUP(B60,食物数据库V3!$B$6:$K$59,9,FALSE),1)))),0)</f>
        <v>42.4001019692817</v>
      </c>
      <c r="D60" s="91" t="str">
        <f>F17</f>
        <v>全麦面包</v>
      </c>
      <c r="E60" s="59">
        <f>IFERROR(($AO$50*$U$50/100)/VLOOKUP(D60,食物数据库V3!$B$6:$K$59,2,FALSE)*100*IF(IFERROR(VLOOKUP(D60,食物数据库V3!$B$6:$K$59,7,FALSE),"无需换算")="无需换算",1,IF(IFERROR(VLOOKUP(D60,食物数据库V3!$B$6:$K$59,8,FALSE),IFERROR(VLOOKUP(D60,食物数据库V3!$B$6:$K$59,7,FALSE),"熟重"))=IFERROR(VLOOKUP(D60,食物数据库V3!$B$6:$K$59,7,FALSE),"熟重"),1,IF(IFERROR(VLOOKUP(D60,食物数据库V3!$B$6:$K$59,8,FALSE),"熟重")="熟重",IFERROR(VLOOKUP(D60,食物数据库V3!$B$6:$K$59,9,FALSE),1),1/IFERROR(VLOOKUP(D60,食物数据库V3!$B$6:$K$59,9,FALSE),1)))),0)</f>
        <v>73.9770200148258</v>
      </c>
      <c r="F60" s="91" t="str">
        <f>F18</f>
        <v>熟米饭</v>
      </c>
      <c r="G60" s="59">
        <f>IFERROR(($AO$50*$U$50/100)/VLOOKUP(F60,食物数据库V3!$B$6:$K$59,2,FALSE)*100*IF(IFERROR(VLOOKUP(F60,食物数据库V3!$B$6:$K$59,7,FALSE),"无需换算")="无需换算",1,IF(IFERROR(VLOOKUP(F60,食物数据库V3!$B$6:$K$59,8,FALSE),IFERROR(VLOOKUP(F60,食物数据库V3!$B$6:$K$59,7,FALSE),"熟重"))=IFERROR(VLOOKUP(F60,食物数据库V3!$B$6:$K$59,7,FALSE),"熟重"),1,IF(IFERROR(VLOOKUP(F60,食物数据库V3!$B$6:$K$59,8,FALSE),"熟重")="熟重",IFERROR(VLOOKUP(F60,食物数据库V3!$B$6:$K$59,9,FALSE),1),1/IFERROR(VLOOKUP(F60,食物数据库V3!$B$6:$K$59,9,FALSE),1)))),0)</f>
        <v>93.7042253521127</v>
      </c>
      <c r="H60" s="91" t="str">
        <f>I16</f>
        <v>脱脂牛奶</v>
      </c>
      <c r="I60" s="59">
        <f>IFERROR(($AP$50*$Y$50/100)/VLOOKUP(H60,食物数据库V3!$B$6:$K$59,3,FALSE)*100*IF(IFERROR(VLOOKUP(H60,食物数据库V3!$B$6:$K$59,7,FALSE),"无需换算")="无需换算",1,IF(IFERROR(VLOOKUP(H60,食物数据库V3!$B$6:$K$59,8,FALSE),IFERROR(VLOOKUP(H60,食物数据库V3!$B$6:$K$59,7,FALSE),"熟重"))=IFERROR(VLOOKUP(H60,食物数据库V3!$B$6:$K$59,7,FALSE),"熟重"),1,IF(IFERROR(VLOOKUP(H60,食物数据库V3!$B$6:$K$59,8,FALSE),"熟重")="熟重",IFERROR(VLOOKUP(H60,食物数据库V3!$B$6:$K$59,9,FALSE),1),1/IFERROR(VLOOKUP(H60,食物数据库V3!$B$6:$K$59,9,FALSE),1)))),0)</f>
        <v>576.258589599883</v>
      </c>
      <c r="J60" s="91" t="str">
        <f>I17</f>
        <v>希腊酸奶（低脂）</v>
      </c>
      <c r="K60" s="59">
        <f>IFERROR(($AP$50*$Y$50/100)/VLOOKUP(J60,食物数据库V3!$B$6:$K$59,3,FALSE)*100*IF(IFERROR(VLOOKUP(J60,食物数据库V3!$B$6:$K$59,7,FALSE),"无需换算")="无需换算",1,IF(IFERROR(VLOOKUP(J60,食物数据库V3!$B$6:$K$59,8,FALSE),IFERROR(VLOOKUP(J60,食物数据库V3!$B$6:$K$59,7,FALSE),"熟重"))=IFERROR(VLOOKUP(J60,食物数据库V3!$B$6:$K$59,7,FALSE),"熟重"),1,IF(IFERROR(VLOOKUP(J60,食物数据库V3!$B$6:$K$59,8,FALSE),"熟重")="熟重",IFERROR(VLOOKUP(J60,食物数据库V3!$B$6:$K$59,9,FALSE),1),1/IFERROR(VLOOKUP(J60,食物数据库V3!$B$6:$K$59,9,FALSE),1)))),0)</f>
        <v>195.92792046396</v>
      </c>
      <c r="L60" s="91">
        <f>I18</f>
        <v>0</v>
      </c>
      <c r="M60" s="59">
        <f>IFERROR(($AP$50*$Y$50/100)/VLOOKUP(L60,食物数据库V3!$B$6:$K$59,3,FALSE)*100*IF(IFERROR(VLOOKUP(L60,食物数据库V3!$B$6:$K$59,7,FALSE),"无需换算")="无需换算",1,IF(IFERROR(VLOOKUP(L60,食物数据库V3!$B$6:$K$59,8,FALSE),IFERROR(VLOOKUP(L60,食物数据库V3!$B$6:$K$59,7,FALSE),"熟重"))=IFERROR(VLOOKUP(L60,食物数据库V3!$B$6:$K$59,7,FALSE),"熟重"),1,IF(IFERROR(VLOOKUP(L60,食物数据库V3!$B$6:$K$59,8,FALSE),"熟重")="熟重",IFERROR(VLOOKUP(L60,食物数据库V3!$B$6:$K$59,9,FALSE),1),1/IFERROR(VLOOKUP(L60,食物数据库V3!$B$6:$K$59,9,FALSE),1)))),0)</f>
        <v>0</v>
      </c>
      <c r="N60" s="91" t="str">
        <f>L16</f>
        <v>腰果</v>
      </c>
      <c r="O60" s="59">
        <f>IFERROR(($AQ$50*$AC$50/100)/VLOOKUP(N60,食物数据库V3!$B$6:$K$59,4,FALSE)*100*IF(IFERROR(VLOOKUP(N60,食物数据库V3!$B$6:$K$59,7,FALSE),"无需换算")="无需换算",1,IF(IFERROR(VLOOKUP(N60,食物数据库V3!$B$6:$K$59,8,FALSE),IFERROR(VLOOKUP(N60,食物数据库V3!$B$6:$K$59,7,FALSE),"熟重"))=IFERROR(VLOOKUP(N60,食物数据库V3!$B$6:$K$59,7,FALSE),"熟重"),1,IF(IFERROR(VLOOKUP(N60,食物数据库V3!$B$6:$K$59,8,FALSE),"熟重")="熟重",IFERROR(VLOOKUP(N60,食物数据库V3!$B$6:$K$59,9,FALSE),1),1/IFERROR(VLOOKUP(N60,食物数据库V3!$B$6:$K$59,9,FALSE),1)))),0)</f>
        <v>0</v>
      </c>
      <c r="P60" s="91" t="str">
        <f>L17</f>
        <v>杏仁</v>
      </c>
      <c r="Q60" s="59">
        <f>IFERROR(($AQ$50*$AC$50/100)/VLOOKUP(P60,食物数据库V3!$B$6:$K$59,4,FALSE)*100*IF(IFERROR(VLOOKUP(P60,食物数据库V3!$B$6:$K$59,7,FALSE),"无需换算")="无需换算",1,IF(IFERROR(VLOOKUP(P60,食物数据库V3!$B$6:$K$59,8,FALSE),IFERROR(VLOOKUP(P60,食物数据库V3!$B$6:$K$59,7,FALSE),"熟重"))=IFERROR(VLOOKUP(P60,食物数据库V3!$B$6:$K$59,7,FALSE),"熟重"),1,IF(IFERROR(VLOOKUP(P60,食物数据库V3!$B$6:$K$59,8,FALSE),"熟重")="熟重",IFERROR(VLOOKUP(P60,食物数据库V3!$B$6:$K$59,9,FALSE),1),1/IFERROR(VLOOKUP(P60,食物数据库V3!$B$6:$K$59,9,FALSE),1)))),0)</f>
        <v>0</v>
      </c>
      <c r="R60" s="91" t="str">
        <f>L18</f>
        <v>花生酱</v>
      </c>
      <c r="S60" s="59">
        <f>IFERROR(($AQ$50*$AC$50/100)/VLOOKUP(R60,食物数据库V3!$B$6:$K$59,4,FALSE)*100*IF(IFERROR(VLOOKUP(R60,食物数据库V3!$B$6:$K$59,7,FALSE),"无需换算")="无需换算",1,IF(IFERROR(VLOOKUP(R60,食物数据库V3!$B$6:$K$59,8,FALSE),IFERROR(VLOOKUP(R60,食物数据库V3!$B$6:$K$59,7,FALSE),"熟重"))=IFERROR(VLOOKUP(R60,食物数据库V3!$B$6:$K$59,7,FALSE),"熟重"),1,IF(IFERROR(VLOOKUP(R60,食物数据库V3!$B$6:$K$59,8,FALSE),"熟重")="熟重",IFERROR(VLOOKUP(R60,食物数据库V3!$B$6:$K$59,9,FALSE),1),1/IFERROR(VLOOKUP(R60,食物数据库V3!$B$6:$K$59,9,FALSE),1)))),0)</f>
        <v>0</v>
      </c>
      <c r="T60" s="56"/>
    </row>
    <row r="61" ht="13.9" hidden="1" spans="1:45">
      <c r="A61" s="58" t="s">
        <v>76</v>
      </c>
      <c r="B61" s="91" t="str">
        <f>F20</f>
        <v>熟米饭</v>
      </c>
      <c r="C61" s="59">
        <f>IFERROR(($AO$51*$U$51/100)/VLOOKUP(B61,食物数据库V3!$B$6:$K$59,2,FALSE)*100*IF(IFERROR(VLOOKUP(B61,食物数据库V3!$B$6:$K$59,7,FALSE),"无需换算")="无需换算",1,IF(IFERROR(VLOOKUP(B61,食物数据库V3!$B$6:$K$59,8,FALSE),IFERROR(VLOOKUP(B61,食物数据库V3!$B$6:$K$59,7,FALSE),"熟重"))=IFERROR(VLOOKUP(B61,食物数据库V3!$B$6:$K$59,7,FALSE),"熟重"),1,IF(IFERROR(VLOOKUP(B61,食物数据库V3!$B$6:$K$59,8,FALSE),"熟重")="熟重",IFERROR(VLOOKUP(B61,食物数据库V3!$B$6:$K$59,9,FALSE),1),1/IFERROR(VLOOKUP(B61,食物数据库V3!$B$6:$K$59,9,FALSE),1)))),0)</f>
        <v>79.037558685446</v>
      </c>
      <c r="D61" s="91" t="str">
        <f>F21</f>
        <v>土豆（熟）</v>
      </c>
      <c r="E61" s="59">
        <f>IFERROR(($AO$51*$U$51/100)/VLOOKUP(D61,食物数据库V3!$B$6:$K$59,2,FALSE)*100*IF(IFERROR(VLOOKUP(D61,食物数据库V3!$B$6:$K$59,7,FALSE),"无需换算")="无需换算",1,IF(IFERROR(VLOOKUP(D61,食物数据库V3!$B$6:$K$59,8,FALSE),IFERROR(VLOOKUP(D61,食物数据库V3!$B$6:$K$59,7,FALSE),"熟重"))=IFERROR(VLOOKUP(D61,食物数据库V3!$B$6:$K$59,7,FALSE),"熟重"),1,IF(IFERROR(VLOOKUP(D61,食物数据库V3!$B$6:$K$59,8,FALSE),"熟重")="熟重",IFERROR(VLOOKUP(D61,食物数据库V3!$B$6:$K$59,9,FALSE),1),1/IFERROR(VLOOKUP(D61,食物数据库V3!$B$6:$K$59,9,FALSE),1)))),0)</f>
        <v>139.478044739022</v>
      </c>
      <c r="F61" s="91" t="str">
        <f>F22</f>
        <v>红薯（熟）</v>
      </c>
      <c r="G61" s="59">
        <f>IFERROR(($AO$51*$U$51/100)/VLOOKUP(F61,食物数据库V3!$B$6:$K$59,2,FALSE)*100*IF(IFERROR(VLOOKUP(F61,食物数据库V3!$B$6:$K$59,7,FALSE),"无需换算")="无需换算",1,IF(IFERROR(VLOOKUP(F61,食物数据库V3!$B$6:$K$59,8,FALSE),IFERROR(VLOOKUP(F61,食物数据库V3!$B$6:$K$59,7,FALSE),"熟重"))=IFERROR(VLOOKUP(F61,食物数据库V3!$B$6:$K$59,7,FALSE),"熟重"),1,IF(IFERROR(VLOOKUP(F61,食物数据库V3!$B$6:$K$59,8,FALSE),"熟重")="熟重",IFERROR(VLOOKUP(F61,食物数据库V3!$B$6:$K$59,9,FALSE),1),1/IFERROR(VLOOKUP(F61,食物数据库V3!$B$6:$K$59,9,FALSE),1)))),0)</f>
        <v>117.966505500666</v>
      </c>
      <c r="H61" s="91" t="str">
        <f>I20</f>
        <v>鸡胸肉（生）</v>
      </c>
      <c r="I61" s="59">
        <f>IFERROR(($AP$51*$Y$51/100)/VLOOKUP(H61,食物数据库V3!$B$6:$K$59,3,FALSE)*100*IF(IFERROR(VLOOKUP(H61,食物数据库V3!$B$6:$K$59,7,FALSE),"无需换算")="无需换算",1,IF(IFERROR(VLOOKUP(H61,食物数据库V3!$B$6:$K$59,8,FALSE),IFERROR(VLOOKUP(H61,食物数据库V3!$B$6:$K$59,7,FALSE),"熟重"))=IFERROR(VLOOKUP(H61,食物数据库V3!$B$6:$K$59,7,FALSE),"熟重"),1,IF(IFERROR(VLOOKUP(H61,食物数据库V3!$B$6:$K$59,8,FALSE),"熟重")="熟重",IFERROR(VLOOKUP(H61,食物数据库V3!$B$6:$K$59,9,FALSE),1),1/IFERROR(VLOOKUP(H61,食物数据库V3!$B$6:$K$59,9,FALSE),1)))),0)</f>
        <v>181.568288518993</v>
      </c>
      <c r="J61" s="91" t="str">
        <f>I21</f>
        <v>虾仁</v>
      </c>
      <c r="K61" s="59">
        <f>IFERROR(($AP$51*$Y$51/100)/VLOOKUP(J61,食物数据库V3!$B$6:$K$59,3,FALSE)*100*IF(IFERROR(VLOOKUP(J61,食物数据库V3!$B$6:$K$59,7,FALSE),"无需换算")="无需换算",1,IF(IFERROR(VLOOKUP(J61,食物数据库V3!$B$6:$K$59,8,FALSE),IFERROR(VLOOKUP(J61,食物数据库V3!$B$6:$K$59,7,FALSE),"熟重"))=IFERROR(VLOOKUP(J61,食物数据库V3!$B$6:$K$59,7,FALSE),"熟重"),1,IF(IFERROR(VLOOKUP(J61,食物数据库V3!$B$6:$K$59,8,FALSE),"熟重")="熟重",IFERROR(VLOOKUP(J61,食物数据库V3!$B$6:$K$59,9,FALSE),1),1/IFERROR(VLOOKUP(J61,食物数据库V3!$B$6:$K$59,9,FALSE),1)))),0)</f>
        <v>199.725117370892</v>
      </c>
      <c r="L61" s="91" t="str">
        <f>I22</f>
        <v>金枪鱼（水浸）</v>
      </c>
      <c r="M61" s="59">
        <f>IFERROR(($AP$51*$Y$51/100)/VLOOKUP(L61,食物数据库V3!$B$6:$K$59,3,FALSE)*100*IF(IFERROR(VLOOKUP(L61,食物数据库V3!$B$6:$K$59,7,FALSE),"无需换算")="无需换算",1,IF(IFERROR(VLOOKUP(L61,食物数据库V3!$B$6:$K$59,8,FALSE),IFERROR(VLOOKUP(L61,食物数据库V3!$B$6:$K$59,7,FALSE),"熟重"))=IFERROR(VLOOKUP(L61,食物数据库V3!$B$6:$K$59,7,FALSE),"熟重"),1,IF(IFERROR(VLOOKUP(L61,食物数据库V3!$B$6:$K$59,8,FALSE),"熟重")="熟重",IFERROR(VLOOKUP(L61,食物数据库V3!$B$6:$K$59,9,FALSE),1),1/IFERROR(VLOOKUP(L61,食物数据库V3!$B$6:$K$59,9,FALSE),1)))),0)</f>
        <v>153.634705669917</v>
      </c>
      <c r="N61" s="91" t="str">
        <f>L20</f>
        <v>橄榄油</v>
      </c>
      <c r="O61" s="59">
        <f>IFERROR(($AQ$51*$AC$51/100)/VLOOKUP(N61,食物数据库V3!$B$6:$K$59,4,FALSE)*100*IF(IFERROR(VLOOKUP(N61,食物数据库V3!$B$6:$K$59,7,FALSE),"无需换算")="无需换算",1,IF(IFERROR(VLOOKUP(N61,食物数据库V3!$B$6:$K$59,8,FALSE),IFERROR(VLOOKUP(N61,食物数据库V3!$B$6:$K$59,7,FALSE),"熟重"))=IFERROR(VLOOKUP(N61,食物数据库V3!$B$6:$K$59,7,FALSE),"熟重"),1,IF(IFERROR(VLOOKUP(N61,食物数据库V3!$B$6:$K$59,8,FALSE),"熟重")="熟重",IFERROR(VLOOKUP(N61,食物数据库V3!$B$6:$K$59,9,FALSE),1),1/IFERROR(VLOOKUP(N61,食物数据库V3!$B$6:$K$59,9,FALSE),1)))),0)</f>
        <v>26.8446838099303</v>
      </c>
      <c r="P61" s="91" t="str">
        <f>L21</f>
        <v>腰果</v>
      </c>
      <c r="Q61" s="59">
        <f>IFERROR(($AQ$51*$AC$51/100)/VLOOKUP(P61,食物数据库V3!$B$6:$K$59,4,FALSE)*100*IF(IFERROR(VLOOKUP(P61,食物数据库V3!$B$6:$K$59,7,FALSE),"无需换算")="无需换算",1,IF(IFERROR(VLOOKUP(P61,食物数据库V3!$B$6:$K$59,8,FALSE),IFERROR(VLOOKUP(P61,食物数据库V3!$B$6:$K$59,7,FALSE),"熟重"))=IFERROR(VLOOKUP(P61,食物数据库V3!$B$6:$K$59,7,FALSE),"熟重"),1,IF(IFERROR(VLOOKUP(P61,食物数据库V3!$B$6:$K$59,8,FALSE),"熟重")="熟重",IFERROR(VLOOKUP(P61,食物数据库V3!$B$6:$K$59,9,FALSE),1),1/IFERROR(VLOOKUP(P61,食物数据库V3!$B$6:$K$59,9,FALSE),1)))),0)</f>
        <v>61.2892324427632</v>
      </c>
      <c r="R61" s="91" t="str">
        <f>L22</f>
        <v>牛油果</v>
      </c>
      <c r="S61" s="59">
        <f>IFERROR(($AQ$51*$AC$51/100)/VLOOKUP(R61,食物数据库V3!$B$6:$K$59,4,FALSE)*100*IF(IFERROR(VLOOKUP(R61,食物数据库V3!$B$6:$K$59,7,FALSE),"无需换算")="无需换算",1,IF(IFERROR(VLOOKUP(R61,食物数据库V3!$B$6:$K$59,8,FALSE),IFERROR(VLOOKUP(R61,食物数据库V3!$B$6:$K$59,7,FALSE),"熟重"))=IFERROR(VLOOKUP(R61,食物数据库V3!$B$6:$K$59,7,FALSE),"熟重"),1,IF(IFERROR(VLOOKUP(R61,食物数据库V3!$B$6:$K$59,8,FALSE),"熟重")="熟重",IFERROR(VLOOKUP(R61,食物数据库V3!$B$6:$K$59,9,FALSE),1),1/IFERROR(VLOOKUP(R61,食物数据库V3!$B$6:$K$59,9,FALSE),1)))),0)</f>
        <v>182.616896666193</v>
      </c>
      <c r="T61" s="56"/>
    </row>
    <row r="62" ht="13.9" hidden="1" spans="1:45">
      <c r="A62" s="58" t="s">
        <v>78</v>
      </c>
      <c r="B62" s="91" t="str">
        <f>F24</f>
        <v>红薯（熟）</v>
      </c>
      <c r="C62" s="59">
        <f>IFERROR(($AO$52*$U$52/100)/VLOOKUP(B62,食物数据库V3!$B$6:$K$59,2,FALSE)*100*IF(IFERROR(VLOOKUP(B62,食物数据库V3!$B$6:$K$59,7,FALSE),"无需换算")="无需换算",1,IF(IFERROR(VLOOKUP(B62,食物数据库V3!$B$6:$K$59,8,FALSE),IFERROR(VLOOKUP(B62,食物数据库V3!$B$6:$K$59,7,FALSE),"熟重"))=IFERROR(VLOOKUP(B62,食物数据库V3!$B$6:$K$59,7,FALSE),"熟重"),1,IF(IFERROR(VLOOKUP(B62,食物数据库V3!$B$6:$K$59,8,FALSE),"熟重")="熟重",IFERROR(VLOOKUP(B62,食物数据库V3!$B$6:$K$59,9,FALSE),1),1/IFERROR(VLOOKUP(B62,食物数据库V3!$B$6:$K$59,9,FALSE),1)))),0)</f>
        <v>75.0472987176792</v>
      </c>
      <c r="D62" s="91" t="str">
        <f>F25</f>
        <v>土豆（熟）</v>
      </c>
      <c r="E62" s="59">
        <f>IFERROR(($AO$52*$U$52/100)/VLOOKUP(D62,食物数据库V3!$B$6:$K$59,2,FALSE)*100*IF(IFERROR(VLOOKUP(D62,食物数据库V3!$B$6:$K$59,7,FALSE),"无需换算")="无需换算",1,IF(IFERROR(VLOOKUP(D62,食物数据库V3!$B$6:$K$59,8,FALSE),IFERROR(VLOOKUP(D62,食物数据库V3!$B$6:$K$59,7,FALSE),"熟重"))=IFERROR(VLOOKUP(D62,食物数据库V3!$B$6:$K$59,7,FALSE),"熟重"),1,IF(IFERROR(VLOOKUP(D62,食物数据库V3!$B$6:$K$59,8,FALSE),"熟重")="熟重",IFERROR(VLOOKUP(D62,食物数据库V3!$B$6:$K$59,9,FALSE),1),1/IFERROR(VLOOKUP(D62,食物数据库V3!$B$6:$K$59,9,FALSE),1)))),0)</f>
        <v>88.7323943661972</v>
      </c>
      <c r="F62" s="91" t="str">
        <f>F26</f>
        <v>熟米饭</v>
      </c>
      <c r="G62" s="59">
        <f>IFERROR(($AO$52*$U$52/100)/VLOOKUP(F62,食物数据库V3!$B$6:$K$59,2,FALSE)*100*IF(IFERROR(VLOOKUP(F62,食物数据库V3!$B$6:$K$59,7,FALSE),"无需换算")="无需换算",1,IF(IFERROR(VLOOKUP(F62,食物数据库V3!$B$6:$K$59,8,FALSE),IFERROR(VLOOKUP(F62,食物数据库V3!$B$6:$K$59,7,FALSE),"熟重"))=IFERROR(VLOOKUP(F62,食物数据库V3!$B$6:$K$59,7,FALSE),"熟重"),1,IF(IFERROR(VLOOKUP(F62,食物数据库V3!$B$6:$K$59,8,FALSE),"熟重")="熟重",IFERROR(VLOOKUP(F62,食物数据库V3!$B$6:$K$59,9,FALSE),1),1/IFERROR(VLOOKUP(F62,食物数据库V3!$B$6:$K$59,9,FALSE),1)))),0)</f>
        <v>50.2816901408451</v>
      </c>
      <c r="H62" s="91" t="str">
        <f>I24</f>
        <v>-</v>
      </c>
      <c r="I62" s="59">
        <v>0</v>
      </c>
      <c r="J62" s="91" t="str">
        <f>I25</f>
        <v>-</v>
      </c>
      <c r="K62" s="59">
        <v>0</v>
      </c>
      <c r="L62" s="91" t="str">
        <f>I26</f>
        <v>-</v>
      </c>
      <c r="M62" s="59">
        <v>0</v>
      </c>
      <c r="N62" s="91" t="str">
        <f>L24</f>
        <v>-</v>
      </c>
      <c r="O62" s="59">
        <v>0</v>
      </c>
      <c r="P62" s="91" t="str">
        <f>L25</f>
        <v>-</v>
      </c>
      <c r="Q62" s="59">
        <v>0</v>
      </c>
      <c r="R62" s="91" t="str">
        <f>L26</f>
        <v>-</v>
      </c>
      <c r="S62" s="59">
        <v>0</v>
      </c>
      <c r="T62" s="56"/>
    </row>
    <row r="63" ht="27.75" hidden="1" spans="1:45">
      <c r="A63" s="58" t="s">
        <v>80</v>
      </c>
      <c r="B63" s="91" t="str">
        <f>F28</f>
        <v>荞麦面（熟）</v>
      </c>
      <c r="C63" s="59">
        <f>IFERROR(($AO$53*$U$53/100)/VLOOKUP(B63,食物数据库V3!$B$6:$K$59,2,FALSE)*100*IF(IFERROR(VLOOKUP(B63,食物数据库V3!$B$6:$K$59,7,FALSE),"无需换算")="无需换算",1,IF(IFERROR(VLOOKUP(B63,食物数据库V3!$B$6:$K$59,8,FALSE),IFERROR(VLOOKUP(B63,食物数据库V3!$B$6:$K$59,7,FALSE),"熟重"))=IFERROR(VLOOKUP(B63,食物数据库V3!$B$6:$K$59,7,FALSE),"熟重"),1,IF(IFERROR(VLOOKUP(B63,食物数据库V3!$B$6:$K$59,8,FALSE),"熟重")="熟重",IFERROR(VLOOKUP(B63,食物数据库V3!$B$6:$K$59,9,FALSE),1),1/IFERROR(VLOOKUP(B63,食物数据库V3!$B$6:$K$59,9,FALSE),1)))),0)</f>
        <v>152.363067292645</v>
      </c>
      <c r="D63" s="91" t="str">
        <f>F29</f>
        <v>熟米饭</v>
      </c>
      <c r="E63" s="59">
        <f>IFERROR(($AO$53*$U$53/100)/VLOOKUP(D63,食物数据库V3!$B$6:$K$59,2,FALSE)*100*IF(IFERROR(VLOOKUP(D63,食物数据库V3!$B$6:$K$59,7,FALSE),"无需换算")="无需换算",1,IF(IFERROR(VLOOKUP(D63,食物数据库V3!$B$6:$K$59,8,FALSE),IFERROR(VLOOKUP(D63,食物数据库V3!$B$6:$K$59,7,FALSE),"熟重"))=IFERROR(VLOOKUP(D63,食物数据库V3!$B$6:$K$59,7,FALSE),"熟重"),1,IF(IFERROR(VLOOKUP(D63,食物数据库V3!$B$6:$K$59,8,FALSE),"熟重")="熟重",IFERROR(VLOOKUP(D63,食物数据库V3!$B$6:$K$59,9,FALSE),1),1/IFERROR(VLOOKUP(D63,食物数据库V3!$B$6:$K$59,9,FALSE),1)))),0)</f>
        <v>137.12676056338</v>
      </c>
      <c r="F63" s="91" t="str">
        <f>F30</f>
        <v>红薯（熟）</v>
      </c>
      <c r="G63" s="59">
        <f>IFERROR(($AO$53*$U$53/100)/VLOOKUP(F63,食物数据库V3!$B$6:$K$59,2,FALSE)*100*IF(IFERROR(VLOOKUP(F63,食物数据库V3!$B$6:$K$59,7,FALSE),"无需换算")="无需换算",1,IF(IFERROR(VLOOKUP(F63,食物数据库V3!$B$6:$K$59,8,FALSE),IFERROR(VLOOKUP(F63,食物数据库V3!$B$6:$K$59,7,FALSE),"熟重"))=IFERROR(VLOOKUP(F63,食物数据库V3!$B$6:$K$59,7,FALSE),"熟重"),1,IF(IFERROR(VLOOKUP(F63,食物数据库V3!$B$6:$K$59,8,FALSE),"熟重")="熟重",IFERROR(VLOOKUP(F63,食物数据库V3!$B$6:$K$59,9,FALSE),1),1/IFERROR(VLOOKUP(F63,食物数据库V3!$B$6:$K$59,9,FALSE),1)))),0)</f>
        <v>204.666806811015</v>
      </c>
      <c r="H63" s="91" t="str">
        <f>I28</f>
        <v>鸡胸肉（生）</v>
      </c>
      <c r="I63" s="59">
        <f>IFERROR(($AP$53*$Y$53/100)/VLOOKUP(H63,食物数据库V3!$B$6:$K$59,3,FALSE)*100*IF(IFERROR(VLOOKUP(H63,食物数据库V3!$B$6:$K$59,7,FALSE),"无需换算")="无需换算",1,IF(IFERROR(VLOOKUP(H63,食物数据库V3!$B$6:$K$59,8,FALSE),IFERROR(VLOOKUP(H63,食物数据库V3!$B$6:$K$59,7,FALSE),"熟重"))=IFERROR(VLOOKUP(H63,食物数据库V3!$B$6:$K$59,7,FALSE),"熟重"),1,IF(IFERROR(VLOOKUP(H63,食物数据库V3!$B$6:$K$59,8,FALSE),"熟重")="熟重",IFERROR(VLOOKUP(H63,食物数据库V3!$B$6:$K$59,9,FALSE),1),1/IFERROR(VLOOKUP(H63,食物数据库V3!$B$6:$K$59,9,FALSE),1)))),0)</f>
        <v>172.861288945796</v>
      </c>
      <c r="J63" s="91" t="str">
        <f>I29</f>
        <v>虾仁</v>
      </c>
      <c r="K63" s="59">
        <f>IFERROR(($AP$53*$Y$53/100)/VLOOKUP(J63,食物数据库V3!$B$6:$K$59,3,FALSE)*100*IF(IFERROR(VLOOKUP(J63,食物数据库V3!$B$6:$K$59,7,FALSE),"无需换算")="无需换算",1,IF(IFERROR(VLOOKUP(J63,食物数据库V3!$B$6:$K$59,8,FALSE),IFERROR(VLOOKUP(J63,食物数据库V3!$B$6:$K$59,7,FALSE),"熟重"))=IFERROR(VLOOKUP(J63,食物数据库V3!$B$6:$K$59,7,FALSE),"熟重"),1,IF(IFERROR(VLOOKUP(J63,食物数据库V3!$B$6:$K$59,8,FALSE),"熟重")="熟重",IFERROR(VLOOKUP(J63,食物数据库V3!$B$6:$K$59,9,FALSE),1),1/IFERROR(VLOOKUP(J63,食物数据库V3!$B$6:$K$59,9,FALSE),1)))),0)</f>
        <v>190.147417840376</v>
      </c>
      <c r="L63" s="91" t="str">
        <f>I30</f>
        <v>金枪鱼（水浸）</v>
      </c>
      <c r="M63" s="59">
        <f>IFERROR(($AP$53*$Y$53/100)/VLOOKUP(L63,食物数据库V3!$B$6:$K$59,3,FALSE)*100*IF(IFERROR(VLOOKUP(L63,食物数据库V3!$B$6:$K$59,7,FALSE),"无需换算")="无需换算",1,IF(IFERROR(VLOOKUP(L63,食物数据库V3!$B$6:$K$59,8,FALSE),IFERROR(VLOOKUP(L63,食物数据库V3!$B$6:$K$59,7,FALSE),"熟重"))=IFERROR(VLOOKUP(L63,食物数据库V3!$B$6:$K$59,7,FALSE),"熟重"),1,IF(IFERROR(VLOOKUP(L63,食物数据库V3!$B$6:$K$59,8,FALSE),"熟重")="熟重",IFERROR(VLOOKUP(L63,食物数据库V3!$B$6:$K$59,9,FALSE),1),1/IFERROR(VLOOKUP(L63,食物数据库V3!$B$6:$K$59,9,FALSE),1)))),0)</f>
        <v>146.267244492597</v>
      </c>
      <c r="N63" s="91" t="str">
        <f>L28</f>
        <v>橄榄油</v>
      </c>
      <c r="O63" s="59">
        <f>IFERROR(($AQ$53*$AC$53/100)/VLOOKUP(N63,食物数据库V3!$B$6:$K$59,4,FALSE)*100*IF(IFERROR(VLOOKUP(N63,食物数据库V3!$B$6:$K$59,7,FALSE),"无需换算")="无需换算",1,IF(IFERROR(VLOOKUP(N63,食物数据库V3!$B$6:$K$59,8,FALSE),IFERROR(VLOOKUP(N63,食物数据库V3!$B$6:$K$59,7,FALSE),"熟重"))=IFERROR(VLOOKUP(N63,食物数据库V3!$B$6:$K$59,7,FALSE),"熟重"),1,IF(IFERROR(VLOOKUP(N63,食物数据库V3!$B$6:$K$59,8,FALSE),"熟重")="熟重",IFERROR(VLOOKUP(N63,食物数据库V3!$B$6:$K$59,9,FALSE),1),1/IFERROR(VLOOKUP(N63,食物数据库V3!$B$6:$K$59,9,FALSE),1)))),0)</f>
        <v>27.4600384122919</v>
      </c>
      <c r="P63" s="91" t="str">
        <f>L29</f>
        <v>腰果</v>
      </c>
      <c r="Q63" s="59">
        <f>IFERROR(($AQ$53*$AC$53/100)/VLOOKUP(P63,食物数据库V3!$B$6:$K$59,4,FALSE)*100*IF(IFERROR(VLOOKUP(P63,食物数据库V3!$B$6:$K$59,7,FALSE),"无需换算")="无需换算",1,IF(IFERROR(VLOOKUP(P63,食物数据库V3!$B$6:$K$59,8,FALSE),IFERROR(VLOOKUP(P63,食物数据库V3!$B$6:$K$59,7,FALSE),"熟重"))=IFERROR(VLOOKUP(P63,食物数据库V3!$B$6:$K$59,7,FALSE),"熟重"),1,IF(IFERROR(VLOOKUP(P63,食物数据库V3!$B$6:$K$59,8,FALSE),"熟重")="熟重",IFERROR(VLOOKUP(P63,食物数据库V3!$B$6:$K$59,9,FALSE),1),1/IFERROR(VLOOKUP(P63,食物数据库V3!$B$6:$K$59,9,FALSE),1)))),0)</f>
        <v>62.6941516262373</v>
      </c>
      <c r="R63" s="91" t="str">
        <f>L30</f>
        <v>花生酱</v>
      </c>
      <c r="S63" s="59">
        <f>IFERROR(($AQ$53*$AC$53/100)/VLOOKUP(R63,食物数据库V3!$B$6:$K$59,4,FALSE)*100*IF(IFERROR(VLOOKUP(R63,食物数据库V3!$B$6:$K$59,7,FALSE),"无需换算")="无需换算",1,IF(IFERROR(VLOOKUP(R63,食物数据库V3!$B$6:$K$59,8,FALSE),IFERROR(VLOOKUP(R63,食物数据库V3!$B$6:$K$59,7,FALSE),"熟重"))=IFERROR(VLOOKUP(R63,食物数据库V3!$B$6:$K$59,7,FALSE),"熟重"),1,IF(IFERROR(VLOOKUP(R63,食物数据库V3!$B$6:$K$59,8,FALSE),"熟重")="熟重",IFERROR(VLOOKUP(R63,食物数据库V3!$B$6:$K$59,9,FALSE),1),1/IFERROR(VLOOKUP(R63,食物数据库V3!$B$6:$K$59,9,FALSE),1)))),0)</f>
        <v>54.9200768245839</v>
      </c>
      <c r="T63" s="56"/>
    </row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</sheetData>
  <mergeCells count="8">
    <mergeCell ref="A1:T1"/>
    <mergeCell ref="A3:T3"/>
    <mergeCell ref="N5:T5"/>
    <mergeCell ref="A6:T6"/>
    <mergeCell ref="A13:T13"/>
    <mergeCell ref="A32:T32"/>
    <mergeCell ref="A39:T39"/>
    <mergeCell ref="A58:T58"/>
  </mergeCells>
  <dataValidations count="6">
    <dataValidation type="list" allowBlank="1" showInputMessage="1" showErrorMessage="1" sqref="B4">
      <formula1>CycleDays</formula1>
    </dataValidation>
    <dataValidation type="list" allowBlank="1" showInputMessage="1" showErrorMessage="1" sqref="G15 J15 G19 J19 G23 J23 G27 J27 I53 F50:F53 I50:I51">
      <formula1>"生重,熟重"</formula1>
    </dataValidation>
    <dataValidation type="list" allowBlank="1" showInputMessage="1" showErrorMessage="1" sqref="N15 N19 N23 N27 M53 M50:M51">
      <formula1>VegFoods</formula1>
    </dataValidation>
    <dataValidation type="list" allowBlank="1" showInputMessage="1" showErrorMessage="1" sqref="H53 H63 J63 L63 H50:H51 H60:H61 I15:I30 J60:J61 L60:L61">
      <formula1>ProteinFoods</formula1>
    </dataValidation>
    <dataValidation type="list" allowBlank="1" showInputMessage="1" showErrorMessage="1" sqref="K53 N63 P63 R63 K50:K51 L15:L30 N60:N61 P60:P61 R60:R61">
      <formula1>FatFoods</formula1>
    </dataValidation>
    <dataValidation type="list" allowBlank="1" showInputMessage="1" showErrorMessage="1" sqref="B60:B63 D60:D63 E50:E53 F15:F30 F60:F63">
      <formula1>CarbFoods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6"/>
  <sheetViews>
    <sheetView showGridLines="0" tabSelected="1" topLeftCell="A5" workbookViewId="0">
      <selection activeCell="D13" sqref="D13"/>
    </sheetView>
  </sheetViews>
  <sheetFormatPr defaultColWidth="9" defaultRowHeight="13.5"/>
  <cols>
    <col min="1" max="1" width="15" customWidth="1"/>
    <col min="2" max="2" width="7" customWidth="1"/>
    <col min="3" max="3" width="11" customWidth="1"/>
    <col min="4" max="4" width="22" customWidth="1"/>
    <col min="5" max="5" width="12" customWidth="1"/>
    <col min="6" max="7" width="15" customWidth="1"/>
    <col min="8" max="10" width="12" customWidth="1"/>
    <col min="11" max="11" width="14" customWidth="1"/>
    <col min="12" max="12" width="13" customWidth="1"/>
    <col min="13" max="20" width="12" customWidth="1"/>
  </cols>
  <sheetData>
    <row r="1" ht="32" customHeight="1" spans="1:20">
      <c r="A1" s="65" t="s">
        <v>175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3" spans="1:20">
      <c r="A3" s="66" t="s">
        <v>176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ht="30" customHeight="1" spans="1:20">
      <c r="A4" s="67" t="s">
        <v>96</v>
      </c>
      <c r="B4" s="68">
        <v>1</v>
      </c>
      <c r="C4" s="67" t="s">
        <v>44</v>
      </c>
      <c r="D4" s="69" t="str">
        <f>IFERROR(VLOOKUP(B4,V6周期计划!$A$20:$M$50,4,FALSE),"")</f>
        <v>是</v>
      </c>
      <c r="E4" s="67" t="s">
        <v>43</v>
      </c>
      <c r="F4" s="69" t="str">
        <f>IFERROR(VLOOKUP(B4,V6周期计划!$A$20:$M$50,3,FALSE),"")</f>
        <v>中碳日</v>
      </c>
      <c r="G4" s="67" t="s">
        <v>97</v>
      </c>
      <c r="H4" s="70">
        <f>IF(B4&gt;CycleLength,"",IFERROR(VLOOKUP(B4,V6周期计划!$A$20:$M$50,7,FALSE),""))</f>
        <v>150.845070422535</v>
      </c>
      <c r="I4" s="67" t="s">
        <v>98</v>
      </c>
      <c r="J4" s="70">
        <f>IF(B4&gt;CycleLength,"",IFERROR(VLOOKUP(B4,V6周期计划!$A$20:$M$50,8,FALSE),""))</f>
        <v>119</v>
      </c>
      <c r="K4" s="67" t="s">
        <v>99</v>
      </c>
      <c r="L4" s="70">
        <f>IF(B4&gt;CycleLength,"",IFERROR(VLOOKUP(B4,V6周期计划!$A$20:$M$50,9,FALSE),""))</f>
        <v>76.5133020344288</v>
      </c>
    </row>
    <row r="5" ht="30" customHeight="1" spans="1:20">
      <c r="A5" s="67" t="s">
        <v>36</v>
      </c>
      <c r="B5" s="69">
        <f>CycleLength</f>
        <v>7</v>
      </c>
      <c r="C5" s="67" t="s">
        <v>45</v>
      </c>
      <c r="D5" s="69" t="str">
        <f>IFERROR(VLOOKUP(B4,V6周期计划!$A$20:$M$50,5,FALSE),"")</f>
        <v>晚饭前</v>
      </c>
      <c r="E5" s="67" t="s">
        <v>46</v>
      </c>
      <c r="F5" s="69" t="str">
        <f>IFERROR(VLOOKUP(B4,V6周期计划!$A$20:$M$50,6,FALSE),"")</f>
        <v>训练日模板</v>
      </c>
      <c r="G5" s="67" t="s">
        <v>100</v>
      </c>
      <c r="H5" s="70">
        <f>IF(B4&gt;CycleLength,"",IFERROR(VLOOKUP(B4,V6周期计划!$A$20:$M$50,10,FALSE),""))</f>
        <v>1768</v>
      </c>
      <c r="I5" s="67" t="s">
        <v>101</v>
      </c>
      <c r="J5" s="69" t="str">
        <f>IF(B4&gt;CycleLength,"未启用",IFERROR(VLOOKUP(B4,V6周期计划!$A$20:$M$50,13,FALSE),"请检查"))</f>
        <v>正常</v>
      </c>
      <c r="K5" s="67" t="s">
        <v>102</v>
      </c>
      <c r="L5" s="69" t="str">
        <f>IF(B4&lt;=CycleLength,"已启用；自由组合","超出循环长度")</f>
        <v>已启用；自由组合</v>
      </c>
    </row>
    <row r="6" spans="1:20">
      <c r="A6" s="66" t="s">
        <v>177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</row>
    <row r="7" ht="22" customHeight="1" spans="1:20">
      <c r="A7" s="71" t="s">
        <v>69</v>
      </c>
      <c r="B7" s="71" t="s">
        <v>178</v>
      </c>
      <c r="C7" s="71" t="s">
        <v>179</v>
      </c>
      <c r="D7" s="71" t="s">
        <v>180</v>
      </c>
      <c r="E7" s="71" t="s">
        <v>181</v>
      </c>
      <c r="F7" s="71" t="s">
        <v>182</v>
      </c>
      <c r="G7" s="71" t="s">
        <v>183</v>
      </c>
      <c r="H7" s="71" t="s">
        <v>47</v>
      </c>
      <c r="I7" s="71" t="s">
        <v>48</v>
      </c>
      <c r="J7" s="71" t="s">
        <v>49</v>
      </c>
      <c r="K7" s="71" t="s">
        <v>155</v>
      </c>
      <c r="L7" s="72"/>
      <c r="M7" s="72"/>
      <c r="N7" s="72"/>
      <c r="O7" s="72"/>
      <c r="P7" s="72"/>
      <c r="Q7" s="72"/>
      <c r="R7" s="72"/>
      <c r="S7" s="72"/>
      <c r="T7" s="72"/>
    </row>
    <row r="8" ht="22" customHeight="1" spans="1:20">
      <c r="A8" s="73" t="s">
        <v>74</v>
      </c>
      <c r="B8" s="73">
        <v>1</v>
      </c>
      <c r="C8" s="74" t="s">
        <v>184</v>
      </c>
      <c r="D8" s="74" t="s">
        <v>126</v>
      </c>
      <c r="E8" s="74" t="str">
        <f>IF(D8="","",IFERROR(VLOOKUP(D8,食物数据库V3!$B$6:$K$59,8,FALSE),""))</f>
        <v>熟重</v>
      </c>
      <c r="F8" s="75">
        <v>150</v>
      </c>
      <c r="G8" s="76">
        <f>IF(OR(D8="",F8=""),0,IFERROR(F8*IF(OR(VLOOKUP(D8,食物数据库V3!$B$6:$K$59,7,FALSE)="无需换算",E8=VLOOKUP(D8,食物数据库V3!$B$6:$K$59,7,FALSE)),1,IF(E8="熟重",1/VLOOKUP(D8,食物数据库V3!$B$6:$K$59,9,FALSE),VLOOKUP(D8,食物数据库V3!$B$6:$K$59,9,FALSE))),0))</f>
        <v>150</v>
      </c>
      <c r="H8" s="76">
        <f>IFERROR(G8*VLOOKUP(D8,食物数据库V3!$B$6:$K$59,2,FALSE)/100,0)</f>
        <v>25.5</v>
      </c>
      <c r="I8" s="76">
        <f>IFERROR(G8*VLOOKUP(D8,食物数据库V3!$B$6:$K$59,3,FALSE)/100,0)</f>
        <v>3</v>
      </c>
      <c r="J8" s="76">
        <f>IFERROR(G8*VLOOKUP(D8,食物数据库V3!$B$6:$K$59,4,FALSE)/100,0)</f>
        <v>0.15</v>
      </c>
      <c r="K8" s="76">
        <f>IFERROR(G8*VLOOKUP(D8,食物数据库V3!$B$6:$K$59,5,FALSE)/100,0)</f>
        <v>115.5</v>
      </c>
      <c r="L8" s="72"/>
      <c r="M8" s="72"/>
      <c r="N8" s="72"/>
      <c r="O8" s="72"/>
      <c r="P8" s="72"/>
      <c r="Q8" s="72"/>
      <c r="R8" s="72"/>
      <c r="S8" s="72"/>
      <c r="T8" s="72"/>
    </row>
    <row r="9" ht="22" customHeight="1" spans="1:20">
      <c r="A9" s="77" t="s">
        <v>74</v>
      </c>
      <c r="B9" s="77">
        <v>2</v>
      </c>
      <c r="C9" s="78" t="s">
        <v>185</v>
      </c>
      <c r="D9" s="78" t="s">
        <v>128</v>
      </c>
      <c r="E9" s="78" t="str">
        <f>IF(D9="","",IFERROR(VLOOKUP(D9,食物数据库V3!$B$6:$K$59,8,FALSE),""))</f>
        <v>熟重</v>
      </c>
      <c r="F9" s="79">
        <v>120</v>
      </c>
      <c r="G9" s="80">
        <f>IF(OR(D9="",F9=""),0,IFERROR(F9*IF(OR(VLOOKUP(D9,食物数据库V3!$B$6:$K$59,7,FALSE)="无需换算",E9=VLOOKUP(D9,食物数据库V3!$B$6:$K$59,7,FALSE)),1,IF(E9="熟重",1/VLOOKUP(D9,食物数据库V3!$B$6:$K$59,9,FALSE),VLOOKUP(D9,食物数据库V3!$B$6:$K$59,9,FALSE))),0))</f>
        <v>120</v>
      </c>
      <c r="H9" s="80">
        <f>IFERROR(G9*VLOOKUP(D9,食物数据库V3!$B$6:$K$59,2,FALSE)/100,0)</f>
        <v>1.32</v>
      </c>
      <c r="I9" s="80">
        <f>IFERROR(G9*VLOOKUP(D9,食物数据库V3!$B$6:$K$59,3,FALSE)/100,0)</f>
        <v>15.12</v>
      </c>
      <c r="J9" s="80">
        <f>IFERROR(G9*VLOOKUP(D9,食物数据库V3!$B$6:$K$59,4,FALSE)/100,0)</f>
        <v>12</v>
      </c>
      <c r="K9" s="80">
        <f>IFERROR(G9*VLOOKUP(D9,食物数据库V3!$B$6:$K$59,5,FALSE)/100,0)</f>
        <v>174</v>
      </c>
      <c r="L9" s="72"/>
      <c r="M9" s="72"/>
      <c r="N9" s="72"/>
      <c r="O9" s="72"/>
      <c r="P9" s="72"/>
      <c r="Q9" s="72"/>
      <c r="R9" s="72"/>
      <c r="S9" s="72"/>
      <c r="T9" s="72"/>
    </row>
    <row r="10" ht="22" customHeight="1" spans="1:20">
      <c r="A10" s="77" t="s">
        <v>74</v>
      </c>
      <c r="B10" s="77">
        <v>3</v>
      </c>
      <c r="C10" s="78" t="s">
        <v>185</v>
      </c>
      <c r="D10" s="78" t="s">
        <v>186</v>
      </c>
      <c r="E10" s="78" t="str">
        <f>IF(D10="","",IFERROR(VLOOKUP(D10,食物数据库V3!$B$6:$K$59,8,FALSE),""))</f>
        <v>熟重</v>
      </c>
      <c r="F10" s="79">
        <v>200</v>
      </c>
      <c r="G10" s="80">
        <f>IF(OR(D10="",F10=""),0,IFERROR(F10*IF(OR(VLOOKUP(D10,食物数据库V3!$B$6:$K$59,7,FALSE)="无需换算",E10=VLOOKUP(D10,食物数据库V3!$B$6:$K$59,7,FALSE)),1,IF(E10="熟重",1/VLOOKUP(D10,食物数据库V3!$B$6:$K$59,9,FALSE),VLOOKUP(D10,食物数据库V3!$B$6:$K$59,9,FALSE))),0))</f>
        <v>200</v>
      </c>
      <c r="H10" s="80">
        <f>IFERROR(G10*VLOOKUP(D10,食物数据库V3!$B$6:$K$59,2,FALSE)/100,0)</f>
        <v>9</v>
      </c>
      <c r="I10" s="80">
        <f>IFERROR(G10*VLOOKUP(D10,食物数据库V3!$B$6:$K$59,3,FALSE)/100,0)</f>
        <v>7</v>
      </c>
      <c r="J10" s="80">
        <f>IFERROR(G10*VLOOKUP(D10,食物数据库V3!$B$6:$K$59,4,FALSE)/100,0)</f>
        <v>7</v>
      </c>
      <c r="K10" s="80">
        <f>IFERROR(G10*VLOOKUP(D10,食物数据库V3!$B$6:$K$59,5,FALSE)/100,0)</f>
        <v>128</v>
      </c>
      <c r="L10" s="72"/>
      <c r="M10" s="72"/>
      <c r="N10" s="72"/>
      <c r="O10" s="72"/>
      <c r="P10" s="72"/>
      <c r="Q10" s="72"/>
      <c r="R10" s="72"/>
      <c r="S10" s="72"/>
      <c r="T10" s="72"/>
    </row>
    <row r="11" ht="22" customHeight="1" spans="1:20">
      <c r="A11" s="77" t="s">
        <v>74</v>
      </c>
      <c r="B11" s="77">
        <v>4</v>
      </c>
      <c r="C11" s="78" t="s">
        <v>187</v>
      </c>
      <c r="D11" s="78"/>
      <c r="E11" s="78" t="str">
        <f>IF(D11="","",IFERROR(VLOOKUP(D11,食物数据库V3!$B$6:$K$59,8,FALSE),""))</f>
        <v/>
      </c>
      <c r="F11" s="79">
        <v>10</v>
      </c>
      <c r="G11" s="80">
        <f>IF(OR(D11="",F11=""),0,IFERROR(F11*IF(OR(VLOOKUP(D11,食物数据库V3!$B$6:$K$59,7,FALSE)="无需换算",E11=VLOOKUP(D11,食物数据库V3!$B$6:$K$59,7,FALSE)),1,IF(E11="熟重",1/VLOOKUP(D11,食物数据库V3!$B$6:$K$59,9,FALSE),VLOOKUP(D11,食物数据库V3!$B$6:$K$59,9,FALSE))),0))</f>
        <v>0</v>
      </c>
      <c r="H11" s="80">
        <f>IFERROR(G11*VLOOKUP(D11,食物数据库V3!$B$6:$K$59,2,FALSE)/100,0)</f>
        <v>0</v>
      </c>
      <c r="I11" s="80">
        <f>IFERROR(G11*VLOOKUP(D11,食物数据库V3!$B$6:$K$59,3,FALSE)/100,0)</f>
        <v>0</v>
      </c>
      <c r="J11" s="80">
        <f>IFERROR(G11*VLOOKUP(D11,食物数据库V3!$B$6:$K$59,4,FALSE)/100,0)</f>
        <v>0</v>
      </c>
      <c r="K11" s="80">
        <f>IFERROR(G11*VLOOKUP(D11,食物数据库V3!$B$6:$K$59,5,FALSE)/100,0)</f>
        <v>0</v>
      </c>
      <c r="L11" s="72"/>
      <c r="M11" s="72"/>
      <c r="N11" s="72"/>
      <c r="O11" s="72"/>
      <c r="P11" s="72"/>
      <c r="Q11" s="72"/>
      <c r="R11" s="72"/>
      <c r="S11" s="72"/>
      <c r="T11" s="72"/>
    </row>
    <row r="12" ht="22" customHeight="1" spans="1:20">
      <c r="A12" s="77" t="s">
        <v>74</v>
      </c>
      <c r="B12" s="77">
        <v>5</v>
      </c>
      <c r="C12" s="78" t="s">
        <v>188</v>
      </c>
      <c r="D12" s="78"/>
      <c r="E12" s="78" t="str">
        <f>IF(D12="","",IFERROR(VLOOKUP(D12,食物数据库V3!$B$6:$K$59,8,FALSE),""))</f>
        <v/>
      </c>
      <c r="F12" s="79">
        <v>100</v>
      </c>
      <c r="G12" s="80">
        <f>IF(OR(D12="",F12=""),0,IFERROR(F12*IF(OR(VLOOKUP(D12,食物数据库V3!$B$6:$K$59,7,FALSE)="无需换算",E12=VLOOKUP(D12,食物数据库V3!$B$6:$K$59,7,FALSE)),1,IF(E12="熟重",1/VLOOKUP(D12,食物数据库V3!$B$6:$K$59,9,FALSE),VLOOKUP(D12,食物数据库V3!$B$6:$K$59,9,FALSE))),0))</f>
        <v>0</v>
      </c>
      <c r="H12" s="80">
        <f>IFERROR(G12*VLOOKUP(D12,食物数据库V3!$B$6:$K$59,2,FALSE)/100,0)</f>
        <v>0</v>
      </c>
      <c r="I12" s="80">
        <f>IFERROR(G12*VLOOKUP(D12,食物数据库V3!$B$6:$K$59,3,FALSE)/100,0)</f>
        <v>0</v>
      </c>
      <c r="J12" s="80">
        <f>IFERROR(G12*VLOOKUP(D12,食物数据库V3!$B$6:$K$59,4,FALSE)/100,0)</f>
        <v>0</v>
      </c>
      <c r="K12" s="80">
        <f>IFERROR(G12*VLOOKUP(D12,食物数据库V3!$B$6:$K$59,5,FALSE)/100,0)</f>
        <v>0</v>
      </c>
      <c r="L12" s="72"/>
      <c r="M12" s="72"/>
      <c r="N12" s="72"/>
      <c r="O12" s="72"/>
      <c r="P12" s="72"/>
      <c r="Q12" s="72"/>
      <c r="R12" s="72"/>
      <c r="S12" s="72"/>
      <c r="T12" s="72"/>
    </row>
    <row r="13" ht="22" customHeight="1" spans="1:20">
      <c r="A13" s="77" t="s">
        <v>74</v>
      </c>
      <c r="B13" s="77">
        <v>6</v>
      </c>
      <c r="C13" s="78"/>
      <c r="D13" s="78"/>
      <c r="E13" s="78" t="str">
        <f>IF(D13="","",IFERROR(VLOOKUP(D13,食物数据库V3!$B$6:$K$59,8,FALSE),""))</f>
        <v/>
      </c>
      <c r="F13" s="79"/>
      <c r="G13" s="80">
        <f>IF(OR(D13="",F13=""),0,IFERROR(F13*IF(OR(VLOOKUP(D13,食物数据库V3!$B$6:$K$59,7,FALSE)="无需换算",E13=VLOOKUP(D13,食物数据库V3!$B$6:$K$59,7,FALSE)),1,IF(E13="熟重",1/VLOOKUP(D13,食物数据库V3!$B$6:$K$59,9,FALSE),VLOOKUP(D13,食物数据库V3!$B$6:$K$59,9,FALSE))),0))</f>
        <v>0</v>
      </c>
      <c r="H13" s="80">
        <f>IFERROR(G13*VLOOKUP(D13,食物数据库V3!$B$6:$K$59,2,FALSE)/100,0)</f>
        <v>0</v>
      </c>
      <c r="I13" s="80">
        <f>IFERROR(G13*VLOOKUP(D13,食物数据库V3!$B$6:$K$59,3,FALSE)/100,0)</f>
        <v>0</v>
      </c>
      <c r="J13" s="80">
        <f>IFERROR(G13*VLOOKUP(D13,食物数据库V3!$B$6:$K$59,4,FALSE)/100,0)</f>
        <v>0</v>
      </c>
      <c r="K13" s="80">
        <f>IFERROR(G13*VLOOKUP(D13,食物数据库V3!$B$6:$K$59,5,FALSE)/100,0)</f>
        <v>0</v>
      </c>
      <c r="L13" s="72"/>
      <c r="M13" s="72"/>
      <c r="N13" s="72"/>
      <c r="O13" s="72"/>
      <c r="P13" s="72"/>
      <c r="Q13" s="72"/>
      <c r="R13" s="72"/>
      <c r="S13" s="72"/>
      <c r="T13" s="72"/>
    </row>
    <row r="14" ht="22" customHeight="1" spans="1:20">
      <c r="A14" s="73" t="s">
        <v>76</v>
      </c>
      <c r="B14" s="73">
        <v>1</v>
      </c>
      <c r="C14" s="74" t="s">
        <v>184</v>
      </c>
      <c r="D14" s="74" t="s">
        <v>141</v>
      </c>
      <c r="E14" s="74" t="str">
        <f>IF(D14="","",IFERROR(VLOOKUP(D14,食物数据库V3!$B$6:$K$59,8,FALSE),""))</f>
        <v>熟重</v>
      </c>
      <c r="F14" s="75">
        <v>180</v>
      </c>
      <c r="G14" s="76">
        <f>IF(OR(D14="",F14=""),0,IFERROR(F14*IF(OR(VLOOKUP(D14,食物数据库V3!$B$6:$K$59,7,FALSE)="无需换算",E14=VLOOKUP(D14,食物数据库V3!$B$6:$K$59,7,FALSE)),1,IF(E14="熟重",1/VLOOKUP(D14,食物数据库V3!$B$6:$K$59,9,FALSE),VLOOKUP(D14,食物数据库V3!$B$6:$K$59,9,FALSE))),0))</f>
        <v>180</v>
      </c>
      <c r="H14" s="76">
        <f>IFERROR(G14*VLOOKUP(D14,食物数据库V3!$B$6:$K$59,2,FALSE)/100,0)</f>
        <v>54</v>
      </c>
      <c r="I14" s="76">
        <f>IFERROR(G14*VLOOKUP(D14,食物数据库V3!$B$6:$K$59,3,FALSE)/100,0)</f>
        <v>4.68</v>
      </c>
      <c r="J14" s="76">
        <f>IFERROR(G14*VLOOKUP(D14,食物数据库V3!$B$6:$K$59,4,FALSE)/100,0)</f>
        <v>0.54</v>
      </c>
      <c r="K14" s="76">
        <f>IFERROR(G14*VLOOKUP(D14,食物数据库V3!$B$6:$K$59,5,FALSE)/100,0)</f>
        <v>239.4</v>
      </c>
      <c r="L14" s="72"/>
      <c r="M14" s="72"/>
      <c r="N14" s="72"/>
      <c r="O14" s="72"/>
      <c r="P14" s="72"/>
      <c r="Q14" s="72"/>
      <c r="R14" s="72"/>
      <c r="S14" s="72"/>
      <c r="T14" s="72"/>
    </row>
    <row r="15" ht="22" customHeight="1" spans="1:20">
      <c r="A15" s="77" t="s">
        <v>76</v>
      </c>
      <c r="B15" s="77">
        <v>2</v>
      </c>
      <c r="C15" s="78" t="s">
        <v>185</v>
      </c>
      <c r="D15" s="78" t="s">
        <v>143</v>
      </c>
      <c r="E15" s="78" t="str">
        <f>IF(D15="","",IFERROR(VLOOKUP(D15,食物数据库V3!$B$6:$K$59,8,FALSE),""))</f>
        <v>生重</v>
      </c>
      <c r="F15" s="79">
        <v>180</v>
      </c>
      <c r="G15" s="80">
        <f>IF(OR(D15="",F15=""),0,IFERROR(F15*IF(OR(VLOOKUP(D15,食物数据库V3!$B$6:$K$59,7,FALSE)="无需换算",E15=VLOOKUP(D15,食物数据库V3!$B$6:$K$59,7,FALSE)),1,IF(E15="熟重",1/VLOOKUP(D15,食物数据库V3!$B$6:$K$59,9,FALSE),VLOOKUP(D15,食物数据库V3!$B$6:$K$59,9,FALSE))),0))</f>
        <v>180</v>
      </c>
      <c r="H15" s="80">
        <f>IFERROR(G15*VLOOKUP(D15,食物数据库V3!$B$6:$K$59,2,FALSE)/100,0)</f>
        <v>0</v>
      </c>
      <c r="I15" s="80">
        <f>IFERROR(G15*VLOOKUP(D15,食物数据库V3!$B$6:$K$59,3,FALSE)/100,0)</f>
        <v>39.6</v>
      </c>
      <c r="J15" s="80">
        <f>IFERROR(G15*VLOOKUP(D15,食物数据库V3!$B$6:$K$59,4,FALSE)/100,0)</f>
        <v>2.7</v>
      </c>
      <c r="K15" s="80">
        <f>IFERROR(G15*VLOOKUP(D15,食物数据库V3!$B$6:$K$59,5,FALSE)/100,0)</f>
        <v>183.6</v>
      </c>
      <c r="L15" s="72"/>
      <c r="M15" s="72"/>
      <c r="N15" s="72"/>
      <c r="O15" s="72"/>
      <c r="P15" s="72"/>
      <c r="Q15" s="72"/>
      <c r="R15" s="72"/>
      <c r="S15" s="72"/>
      <c r="T15" s="72"/>
    </row>
    <row r="16" ht="22" customHeight="1" spans="1:20">
      <c r="A16" s="77" t="s">
        <v>76</v>
      </c>
      <c r="B16" s="77">
        <v>3</v>
      </c>
      <c r="C16" s="78" t="s">
        <v>187</v>
      </c>
      <c r="D16" s="78" t="s">
        <v>130</v>
      </c>
      <c r="E16" s="78" t="str">
        <f>IF(D16="","",IFERROR(VLOOKUP(D16,食物数据库V3!$B$6:$K$59,8,FALSE),""))</f>
        <v>熟重</v>
      </c>
      <c r="F16" s="79">
        <v>10</v>
      </c>
      <c r="G16" s="80">
        <f>IF(OR(D16="",F16=""),0,IFERROR(F16*IF(OR(VLOOKUP(D16,食物数据库V3!$B$6:$K$59,7,FALSE)="无需换算",E16=VLOOKUP(D16,食物数据库V3!$B$6:$K$59,7,FALSE)),1,IF(E16="熟重",1/VLOOKUP(D16,食物数据库V3!$B$6:$K$59,9,FALSE),VLOOKUP(D16,食物数据库V3!$B$6:$K$59,9,FALSE))),0))</f>
        <v>10</v>
      </c>
      <c r="H16" s="80">
        <f>IFERROR(G16*VLOOKUP(D16,食物数据库V3!$B$6:$K$59,2,FALSE)/100,0)</f>
        <v>0</v>
      </c>
      <c r="I16" s="80">
        <f>IFERROR(G16*VLOOKUP(D16,食物数据库V3!$B$6:$K$59,3,FALSE)/100,0)</f>
        <v>0</v>
      </c>
      <c r="J16" s="80">
        <f>IFERROR(G16*VLOOKUP(D16,食物数据库V3!$B$6:$K$59,4,FALSE)/100,0)</f>
        <v>10</v>
      </c>
      <c r="K16" s="80">
        <f>IFERROR(G16*VLOOKUP(D16,食物数据库V3!$B$6:$K$59,5,FALSE)/100,0)</f>
        <v>90</v>
      </c>
      <c r="L16" s="72"/>
      <c r="M16" s="72"/>
      <c r="N16" s="72"/>
      <c r="O16" s="72"/>
      <c r="P16" s="72"/>
      <c r="Q16" s="72"/>
      <c r="R16" s="72"/>
      <c r="S16" s="72"/>
      <c r="T16" s="72"/>
    </row>
    <row r="17" ht="22" customHeight="1" spans="1:20">
      <c r="A17" s="77" t="s">
        <v>76</v>
      </c>
      <c r="B17" s="77">
        <v>4</v>
      </c>
      <c r="C17" s="78" t="s">
        <v>188</v>
      </c>
      <c r="D17" s="78" t="s">
        <v>144</v>
      </c>
      <c r="E17" s="78" t="str">
        <f>IF(D17="","",IFERROR(VLOOKUP(D17,食物数据库V3!$B$6:$K$59,8,FALSE),""))</f>
        <v>生重</v>
      </c>
      <c r="F17" s="79">
        <v>200</v>
      </c>
      <c r="G17" s="80">
        <f>IF(OR(D17="",F17=""),0,IFERROR(F17*IF(OR(VLOOKUP(D17,食物数据库V3!$B$6:$K$59,7,FALSE)="无需换算",E17=VLOOKUP(D17,食物数据库V3!$B$6:$K$59,7,FALSE)),1,IF(E17="熟重",1/VLOOKUP(D17,食物数据库V3!$B$6:$K$59,9,FALSE),VLOOKUP(D17,食物数据库V3!$B$6:$K$59,9,FALSE))),0))</f>
        <v>200</v>
      </c>
      <c r="H17" s="80">
        <f>IFERROR(G17*VLOOKUP(D17,食物数据库V3!$B$6:$K$59,2,FALSE)/100,0)</f>
        <v>14</v>
      </c>
      <c r="I17" s="80">
        <f>IFERROR(G17*VLOOKUP(D17,食物数据库V3!$B$6:$K$59,3,FALSE)/100,0)</f>
        <v>5.6</v>
      </c>
      <c r="J17" s="80">
        <f>IFERROR(G17*VLOOKUP(D17,食物数据库V3!$B$6:$K$59,4,FALSE)/100,0)</f>
        <v>0.8</v>
      </c>
      <c r="K17" s="80">
        <f>IFERROR(G17*VLOOKUP(D17,食物数据库V3!$B$6:$K$59,5,FALSE)/100,0)</f>
        <v>86</v>
      </c>
      <c r="L17" s="72"/>
      <c r="M17" s="72"/>
      <c r="N17" s="72"/>
      <c r="O17" s="72"/>
      <c r="P17" s="72"/>
      <c r="Q17" s="72"/>
      <c r="R17" s="72"/>
      <c r="S17" s="72"/>
      <c r="T17" s="72"/>
    </row>
    <row r="18" ht="22" customHeight="1" spans="1:20">
      <c r="A18" s="77" t="s">
        <v>76</v>
      </c>
      <c r="B18" s="77">
        <v>5</v>
      </c>
      <c r="C18" s="78"/>
      <c r="D18" s="78"/>
      <c r="E18" s="78" t="str">
        <f>IF(D18="","",IFERROR(VLOOKUP(D18,食物数据库V3!$B$6:$K$59,8,FALSE),""))</f>
        <v/>
      </c>
      <c r="F18" s="79"/>
      <c r="G18" s="80">
        <f>IF(OR(D18="",F18=""),0,IFERROR(F18*IF(OR(VLOOKUP(D18,食物数据库V3!$B$6:$K$59,7,FALSE)="无需换算",E18=VLOOKUP(D18,食物数据库V3!$B$6:$K$59,7,FALSE)),1,IF(E18="熟重",1/VLOOKUP(D18,食物数据库V3!$B$6:$K$59,9,FALSE),VLOOKUP(D18,食物数据库V3!$B$6:$K$59,9,FALSE))),0))</f>
        <v>0</v>
      </c>
      <c r="H18" s="80">
        <f>IFERROR(G18*VLOOKUP(D18,食物数据库V3!$B$6:$K$59,2,FALSE)/100,0)</f>
        <v>0</v>
      </c>
      <c r="I18" s="80">
        <f>IFERROR(G18*VLOOKUP(D18,食物数据库V3!$B$6:$K$59,3,FALSE)/100,0)</f>
        <v>0</v>
      </c>
      <c r="J18" s="80">
        <f>IFERROR(G18*VLOOKUP(D18,食物数据库V3!$B$6:$K$59,4,FALSE)/100,0)</f>
        <v>0</v>
      </c>
      <c r="K18" s="80">
        <f>IFERROR(G18*VLOOKUP(D18,食物数据库V3!$B$6:$K$59,5,FALSE)/100,0)</f>
        <v>0</v>
      </c>
      <c r="L18" s="72"/>
      <c r="M18" s="72"/>
      <c r="N18" s="72"/>
      <c r="O18" s="72"/>
      <c r="P18" s="72"/>
      <c r="Q18" s="72"/>
      <c r="R18" s="72"/>
      <c r="S18" s="72"/>
      <c r="T18" s="72"/>
    </row>
    <row r="19" ht="22" customHeight="1" spans="1:20">
      <c r="A19" s="77" t="s">
        <v>76</v>
      </c>
      <c r="B19" s="77">
        <v>6</v>
      </c>
      <c r="C19" s="78"/>
      <c r="D19" s="78"/>
      <c r="E19" s="78" t="str">
        <f>IF(D19="","",IFERROR(VLOOKUP(D19,食物数据库V3!$B$6:$K$59,8,FALSE),""))</f>
        <v/>
      </c>
      <c r="F19" s="79"/>
      <c r="G19" s="80">
        <f>IF(OR(D19="",F19=""),0,IFERROR(F19*IF(OR(VLOOKUP(D19,食物数据库V3!$B$6:$K$59,7,FALSE)="无需换算",E19=VLOOKUP(D19,食物数据库V3!$B$6:$K$59,7,FALSE)),1,IF(E19="熟重",1/VLOOKUP(D19,食物数据库V3!$B$6:$K$59,9,FALSE),VLOOKUP(D19,食物数据库V3!$B$6:$K$59,9,FALSE))),0))</f>
        <v>0</v>
      </c>
      <c r="H19" s="80">
        <f>IFERROR(G19*VLOOKUP(D19,食物数据库V3!$B$6:$K$59,2,FALSE)/100,0)</f>
        <v>0</v>
      </c>
      <c r="I19" s="80">
        <f>IFERROR(G19*VLOOKUP(D19,食物数据库V3!$B$6:$K$59,3,FALSE)/100,0)</f>
        <v>0</v>
      </c>
      <c r="J19" s="80">
        <f>IFERROR(G19*VLOOKUP(D19,食物数据库V3!$B$6:$K$59,4,FALSE)/100,0)</f>
        <v>0</v>
      </c>
      <c r="K19" s="80">
        <f>IFERROR(G19*VLOOKUP(D19,食物数据库V3!$B$6:$K$59,5,FALSE)/100,0)</f>
        <v>0</v>
      </c>
      <c r="L19" s="72"/>
      <c r="M19" s="72"/>
      <c r="N19" s="72"/>
      <c r="O19" s="72"/>
      <c r="P19" s="72"/>
      <c r="Q19" s="72"/>
      <c r="R19" s="72"/>
      <c r="S19" s="72"/>
      <c r="T19" s="72"/>
    </row>
    <row r="20" ht="22" customHeight="1" spans="1:20">
      <c r="A20" s="73" t="s">
        <v>78</v>
      </c>
      <c r="B20" s="73">
        <v>1</v>
      </c>
      <c r="C20" s="74" t="s">
        <v>184</v>
      </c>
      <c r="D20" s="74" t="s">
        <v>146</v>
      </c>
      <c r="E20" s="74" t="str">
        <f>IF(D20="","",IFERROR(VLOOKUP(D20,食物数据库V3!$B$6:$K$59,8,FALSE),""))</f>
        <v>熟重</v>
      </c>
      <c r="F20" s="75">
        <v>150</v>
      </c>
      <c r="G20" s="76">
        <f>IF(OR(D20="",F20=""),0,IFERROR(F20*IF(OR(VLOOKUP(D20,食物数据库V3!$B$6:$K$59,7,FALSE)="无需换算",E20=VLOOKUP(D20,食物数据库V3!$B$6:$K$59,7,FALSE)),1,IF(E20="熟重",1/VLOOKUP(D20,食物数据库V3!$B$6:$K$59,9,FALSE),VLOOKUP(D20,食物数据库V3!$B$6:$K$59,9,FALSE))),0))</f>
        <v>150</v>
      </c>
      <c r="H20" s="76">
        <f>IFERROR(G20*VLOOKUP(D20,食物数据库V3!$B$6:$K$59,2,FALSE)/100,0)</f>
        <v>30.15</v>
      </c>
      <c r="I20" s="76">
        <f>IFERROR(G20*VLOOKUP(D20,食物数据库V3!$B$6:$K$59,3,FALSE)/100,0)</f>
        <v>2.4</v>
      </c>
      <c r="J20" s="76">
        <f>IFERROR(G20*VLOOKUP(D20,食物数据库V3!$B$6:$K$59,4,FALSE)/100,0)</f>
        <v>0.15</v>
      </c>
      <c r="K20" s="76">
        <f>IFERROR(G20*VLOOKUP(D20,食物数据库V3!$B$6:$K$59,5,FALSE)/100,0)</f>
        <v>132</v>
      </c>
      <c r="L20" s="72"/>
      <c r="M20" s="72"/>
      <c r="N20" s="72"/>
      <c r="O20" s="72"/>
      <c r="P20" s="72"/>
      <c r="Q20" s="72"/>
      <c r="R20" s="72"/>
      <c r="S20" s="72"/>
      <c r="T20" s="72"/>
    </row>
    <row r="21" ht="22" customHeight="1" spans="1:20">
      <c r="A21" s="77" t="s">
        <v>78</v>
      </c>
      <c r="B21" s="77">
        <v>2</v>
      </c>
      <c r="C21" s="78"/>
      <c r="D21" s="78"/>
      <c r="E21" s="78" t="str">
        <f>IF(D21="","",IFERROR(VLOOKUP(D21,食物数据库V3!$B$6:$K$59,8,FALSE),""))</f>
        <v/>
      </c>
      <c r="F21" s="79"/>
      <c r="G21" s="80">
        <f>IF(OR(D21="",F21=""),0,IFERROR(F21*IF(OR(VLOOKUP(D21,食物数据库V3!$B$6:$K$59,7,FALSE)="无需换算",E21=VLOOKUP(D21,食物数据库V3!$B$6:$K$59,7,FALSE)),1,IF(E21="熟重",1/VLOOKUP(D21,食物数据库V3!$B$6:$K$59,9,FALSE),VLOOKUP(D21,食物数据库V3!$B$6:$K$59,9,FALSE))),0))</f>
        <v>0</v>
      </c>
      <c r="H21" s="80">
        <f>IFERROR(G21*VLOOKUP(D21,食物数据库V3!$B$6:$K$59,2,FALSE)/100,0)</f>
        <v>0</v>
      </c>
      <c r="I21" s="80">
        <f>IFERROR(G21*VLOOKUP(D21,食物数据库V3!$B$6:$K$59,3,FALSE)/100,0)</f>
        <v>0</v>
      </c>
      <c r="J21" s="80">
        <f>IFERROR(G21*VLOOKUP(D21,食物数据库V3!$B$6:$K$59,4,FALSE)/100,0)</f>
        <v>0</v>
      </c>
      <c r="K21" s="80">
        <f>IFERROR(G21*VLOOKUP(D21,食物数据库V3!$B$6:$K$59,5,FALSE)/100,0)</f>
        <v>0</v>
      </c>
      <c r="L21" s="72"/>
      <c r="M21" s="72"/>
      <c r="N21" s="72"/>
      <c r="O21" s="72"/>
      <c r="P21" s="72"/>
      <c r="Q21" s="72"/>
      <c r="R21" s="72"/>
      <c r="S21" s="72"/>
      <c r="T21" s="72"/>
    </row>
    <row r="22" ht="22" customHeight="1" spans="1:20">
      <c r="A22" s="77" t="s">
        <v>78</v>
      </c>
      <c r="B22" s="77">
        <v>3</v>
      </c>
      <c r="C22" s="78"/>
      <c r="D22" s="78"/>
      <c r="E22" s="78" t="str">
        <f>IF(D22="","",IFERROR(VLOOKUP(D22,食物数据库V3!$B$6:$K$59,8,FALSE),""))</f>
        <v/>
      </c>
      <c r="F22" s="79"/>
      <c r="G22" s="80">
        <f>IF(OR(D22="",F22=""),0,IFERROR(F22*IF(OR(VLOOKUP(D22,食物数据库V3!$B$6:$K$59,7,FALSE)="无需换算",E22=VLOOKUP(D22,食物数据库V3!$B$6:$K$59,7,FALSE)),1,IF(E22="熟重",1/VLOOKUP(D22,食物数据库V3!$B$6:$K$59,9,FALSE),VLOOKUP(D22,食物数据库V3!$B$6:$K$59,9,FALSE))),0))</f>
        <v>0</v>
      </c>
      <c r="H22" s="80">
        <f>IFERROR(G22*VLOOKUP(D22,食物数据库V3!$B$6:$K$59,2,FALSE)/100,0)</f>
        <v>0</v>
      </c>
      <c r="I22" s="80">
        <f>IFERROR(G22*VLOOKUP(D22,食物数据库V3!$B$6:$K$59,3,FALSE)/100,0)</f>
        <v>0</v>
      </c>
      <c r="J22" s="80">
        <f>IFERROR(G22*VLOOKUP(D22,食物数据库V3!$B$6:$K$59,4,FALSE)/100,0)</f>
        <v>0</v>
      </c>
      <c r="K22" s="80">
        <f>IFERROR(G22*VLOOKUP(D22,食物数据库V3!$B$6:$K$59,5,FALSE)/100,0)</f>
        <v>0</v>
      </c>
      <c r="L22" s="72"/>
      <c r="M22" s="72"/>
      <c r="N22" s="72"/>
      <c r="O22" s="72"/>
      <c r="P22" s="72"/>
      <c r="Q22" s="72"/>
      <c r="R22" s="72"/>
      <c r="S22" s="72"/>
      <c r="T22" s="72"/>
    </row>
    <row r="23" ht="22" customHeight="1" spans="1:20">
      <c r="A23" s="77" t="s">
        <v>78</v>
      </c>
      <c r="B23" s="77">
        <v>4</v>
      </c>
      <c r="C23" s="78"/>
      <c r="D23" s="78"/>
      <c r="E23" s="78" t="str">
        <f>IF(D23="","",IFERROR(VLOOKUP(D23,食物数据库V3!$B$6:$K$59,8,FALSE),""))</f>
        <v/>
      </c>
      <c r="F23" s="79"/>
      <c r="G23" s="80">
        <f>IF(OR(D23="",F23=""),0,IFERROR(F23*IF(OR(VLOOKUP(D23,食物数据库V3!$B$6:$K$59,7,FALSE)="无需换算",E23=VLOOKUP(D23,食物数据库V3!$B$6:$K$59,7,FALSE)),1,IF(E23="熟重",1/VLOOKUP(D23,食物数据库V3!$B$6:$K$59,9,FALSE),VLOOKUP(D23,食物数据库V3!$B$6:$K$59,9,FALSE))),0))</f>
        <v>0</v>
      </c>
      <c r="H23" s="80">
        <f>IFERROR(G23*VLOOKUP(D23,食物数据库V3!$B$6:$K$59,2,FALSE)/100,0)</f>
        <v>0</v>
      </c>
      <c r="I23" s="80">
        <f>IFERROR(G23*VLOOKUP(D23,食物数据库V3!$B$6:$K$59,3,FALSE)/100,0)</f>
        <v>0</v>
      </c>
      <c r="J23" s="80">
        <f>IFERROR(G23*VLOOKUP(D23,食物数据库V3!$B$6:$K$59,4,FALSE)/100,0)</f>
        <v>0</v>
      </c>
      <c r="K23" s="80">
        <f>IFERROR(G23*VLOOKUP(D23,食物数据库V3!$B$6:$K$59,5,FALSE)/100,0)</f>
        <v>0</v>
      </c>
      <c r="L23" s="72"/>
      <c r="M23" s="72"/>
      <c r="N23" s="72"/>
      <c r="O23" s="72"/>
      <c r="P23" s="72"/>
      <c r="Q23" s="72"/>
      <c r="R23" s="72"/>
      <c r="S23" s="72"/>
      <c r="T23" s="72"/>
    </row>
    <row r="24" ht="22" customHeight="1" spans="1:20">
      <c r="A24" s="77" t="s">
        <v>78</v>
      </c>
      <c r="B24" s="77">
        <v>5</v>
      </c>
      <c r="C24" s="78"/>
      <c r="D24" s="78"/>
      <c r="E24" s="78" t="str">
        <f>IF(D24="","",IFERROR(VLOOKUP(D24,食物数据库V3!$B$6:$K$59,8,FALSE),""))</f>
        <v/>
      </c>
      <c r="F24" s="79"/>
      <c r="G24" s="80">
        <f>IF(OR(D24="",F24=""),0,IFERROR(F24*IF(OR(VLOOKUP(D24,食物数据库V3!$B$6:$K$59,7,FALSE)="无需换算",E24=VLOOKUP(D24,食物数据库V3!$B$6:$K$59,7,FALSE)),1,IF(E24="熟重",1/VLOOKUP(D24,食物数据库V3!$B$6:$K$59,9,FALSE),VLOOKUP(D24,食物数据库V3!$B$6:$K$59,9,FALSE))),0))</f>
        <v>0</v>
      </c>
      <c r="H24" s="80">
        <f>IFERROR(G24*VLOOKUP(D24,食物数据库V3!$B$6:$K$59,2,FALSE)/100,0)</f>
        <v>0</v>
      </c>
      <c r="I24" s="80">
        <f>IFERROR(G24*VLOOKUP(D24,食物数据库V3!$B$6:$K$59,3,FALSE)/100,0)</f>
        <v>0</v>
      </c>
      <c r="J24" s="80">
        <f>IFERROR(G24*VLOOKUP(D24,食物数据库V3!$B$6:$K$59,4,FALSE)/100,0)</f>
        <v>0</v>
      </c>
      <c r="K24" s="80">
        <f>IFERROR(G24*VLOOKUP(D24,食物数据库V3!$B$6:$K$59,5,FALSE)/100,0)</f>
        <v>0</v>
      </c>
      <c r="L24" s="72"/>
      <c r="M24" s="72"/>
      <c r="N24" s="72"/>
      <c r="O24" s="72"/>
      <c r="P24" s="72"/>
      <c r="Q24" s="72"/>
      <c r="R24" s="72"/>
      <c r="S24" s="72"/>
      <c r="T24" s="72"/>
    </row>
    <row r="25" ht="22" customHeight="1" spans="1:20">
      <c r="A25" s="77" t="s">
        <v>78</v>
      </c>
      <c r="B25" s="77">
        <v>6</v>
      </c>
      <c r="C25" s="78"/>
      <c r="D25" s="78"/>
      <c r="E25" s="78" t="str">
        <f>IF(D25="","",IFERROR(VLOOKUP(D25,食物数据库V3!$B$6:$K$59,8,FALSE),""))</f>
        <v/>
      </c>
      <c r="F25" s="79"/>
      <c r="G25" s="80">
        <f>IF(OR(D25="",F25=""),0,IFERROR(F25*IF(OR(VLOOKUP(D25,食物数据库V3!$B$6:$K$59,7,FALSE)="无需换算",E25=VLOOKUP(D25,食物数据库V3!$B$6:$K$59,7,FALSE)),1,IF(E25="熟重",1/VLOOKUP(D25,食物数据库V3!$B$6:$K$59,9,FALSE),VLOOKUP(D25,食物数据库V3!$B$6:$K$59,9,FALSE))),0))</f>
        <v>0</v>
      </c>
      <c r="H25" s="80">
        <f>IFERROR(G25*VLOOKUP(D25,食物数据库V3!$B$6:$K$59,2,FALSE)/100,0)</f>
        <v>0</v>
      </c>
      <c r="I25" s="80">
        <f>IFERROR(G25*VLOOKUP(D25,食物数据库V3!$B$6:$K$59,3,FALSE)/100,0)</f>
        <v>0</v>
      </c>
      <c r="J25" s="80">
        <f>IFERROR(G25*VLOOKUP(D25,食物数据库V3!$B$6:$K$59,4,FALSE)/100,0)</f>
        <v>0</v>
      </c>
      <c r="K25" s="80">
        <f>IFERROR(G25*VLOOKUP(D25,食物数据库V3!$B$6:$K$59,5,FALSE)/100,0)</f>
        <v>0</v>
      </c>
      <c r="L25" s="72"/>
      <c r="M25" s="72"/>
      <c r="N25" s="72"/>
      <c r="O25" s="72"/>
      <c r="P25" s="72"/>
      <c r="Q25" s="72"/>
      <c r="R25" s="72"/>
      <c r="S25" s="72"/>
      <c r="T25" s="72"/>
    </row>
    <row r="26" ht="22" customHeight="1" spans="1:20">
      <c r="A26" s="73" t="s">
        <v>80</v>
      </c>
      <c r="B26" s="73">
        <v>1</v>
      </c>
      <c r="C26" s="74" t="s">
        <v>184</v>
      </c>
      <c r="D26" s="74" t="s">
        <v>149</v>
      </c>
      <c r="E26" s="74" t="str">
        <f>IF(D26="","",IFERROR(VLOOKUP(D26,食物数据库V3!$B$6:$K$59,8,FALSE),""))</f>
        <v>熟重</v>
      </c>
      <c r="F26" s="75">
        <v>180</v>
      </c>
      <c r="G26" s="76">
        <f>IF(OR(D26="",F26=""),0,IFERROR(F26*IF(OR(VLOOKUP(D26,食物数据库V3!$B$6:$K$59,7,FALSE)="无需换算",E26=VLOOKUP(D26,食物数据库V3!$B$6:$K$59,7,FALSE)),1,IF(E26="熟重",1/VLOOKUP(D26,食物数据库V3!$B$6:$K$59,9,FALSE),VLOOKUP(D26,食物数据库V3!$B$6:$K$59,9,FALSE))),0))</f>
        <v>180</v>
      </c>
      <c r="H26" s="76">
        <f>IFERROR(G26*VLOOKUP(D26,食物数据库V3!$B$6:$K$59,2,FALSE)/100,0)</f>
        <v>48.6</v>
      </c>
      <c r="I26" s="76">
        <f>IFERROR(G26*VLOOKUP(D26,食物数据库V3!$B$6:$K$59,3,FALSE)/100,0)</f>
        <v>9.18</v>
      </c>
      <c r="J26" s="76">
        <f>IFERROR(G26*VLOOKUP(D26,食物数据库V3!$B$6:$K$59,4,FALSE)/100,0)</f>
        <v>0.18</v>
      </c>
      <c r="K26" s="76">
        <f>IFERROR(G26*VLOOKUP(D26,食物数据库V3!$B$6:$K$59,5,FALSE)/100,0)</f>
        <v>232.2</v>
      </c>
      <c r="L26" s="72"/>
      <c r="M26" s="72"/>
      <c r="N26" s="72"/>
      <c r="O26" s="72"/>
      <c r="P26" s="72"/>
      <c r="Q26" s="72"/>
      <c r="R26" s="72"/>
      <c r="S26" s="72"/>
      <c r="T26" s="72"/>
    </row>
    <row r="27" ht="22" customHeight="1" spans="1:20">
      <c r="A27" s="77" t="s">
        <v>80</v>
      </c>
      <c r="B27" s="77">
        <v>2</v>
      </c>
      <c r="C27" s="78" t="s">
        <v>185</v>
      </c>
      <c r="D27" s="78" t="s">
        <v>143</v>
      </c>
      <c r="E27" s="78" t="str">
        <f>IF(D27="","",IFERROR(VLOOKUP(D27,食物数据库V3!$B$6:$K$59,8,FALSE),""))</f>
        <v>生重</v>
      </c>
      <c r="F27" s="79">
        <v>180</v>
      </c>
      <c r="G27" s="80">
        <f>IF(OR(D27="",F27=""),0,IFERROR(F27*IF(OR(VLOOKUP(D27,食物数据库V3!$B$6:$K$59,7,FALSE)="无需换算",E27=VLOOKUP(D27,食物数据库V3!$B$6:$K$59,7,FALSE)),1,IF(E27="熟重",1/VLOOKUP(D27,食物数据库V3!$B$6:$K$59,9,FALSE),VLOOKUP(D27,食物数据库V3!$B$6:$K$59,9,FALSE))),0))</f>
        <v>180</v>
      </c>
      <c r="H27" s="80">
        <f>IFERROR(G27*VLOOKUP(D27,食物数据库V3!$B$6:$K$59,2,FALSE)/100,0)</f>
        <v>0</v>
      </c>
      <c r="I27" s="80">
        <f>IFERROR(G27*VLOOKUP(D27,食物数据库V3!$B$6:$K$59,3,FALSE)/100,0)</f>
        <v>39.6</v>
      </c>
      <c r="J27" s="80">
        <f>IFERROR(G27*VLOOKUP(D27,食物数据库V3!$B$6:$K$59,4,FALSE)/100,0)</f>
        <v>2.7</v>
      </c>
      <c r="K27" s="80">
        <f>IFERROR(G27*VLOOKUP(D27,食物数据库V3!$B$6:$K$59,5,FALSE)/100,0)</f>
        <v>183.6</v>
      </c>
      <c r="L27" s="72"/>
      <c r="M27" s="72"/>
      <c r="N27" s="72"/>
      <c r="O27" s="72"/>
      <c r="P27" s="72"/>
      <c r="Q27" s="72"/>
      <c r="R27" s="72"/>
      <c r="S27" s="72"/>
      <c r="T27" s="72"/>
    </row>
    <row r="28" ht="22" customHeight="1" spans="1:20">
      <c r="A28" s="77" t="s">
        <v>80</v>
      </c>
      <c r="B28" s="77">
        <v>3</v>
      </c>
      <c r="C28" s="78" t="s">
        <v>187</v>
      </c>
      <c r="D28" s="78" t="s">
        <v>130</v>
      </c>
      <c r="E28" s="78" t="str">
        <f>IF(D28="","",IFERROR(VLOOKUP(D28,食物数据库V3!$B$6:$K$59,8,FALSE),""))</f>
        <v>熟重</v>
      </c>
      <c r="F28" s="79">
        <v>10</v>
      </c>
      <c r="G28" s="80">
        <f>IF(OR(D28="",F28=""),0,IFERROR(F28*IF(OR(VLOOKUP(D28,食物数据库V3!$B$6:$K$59,7,FALSE)="无需换算",E28=VLOOKUP(D28,食物数据库V3!$B$6:$K$59,7,FALSE)),1,IF(E28="熟重",1/VLOOKUP(D28,食物数据库V3!$B$6:$K$59,9,FALSE),VLOOKUP(D28,食物数据库V3!$B$6:$K$59,9,FALSE))),0))</f>
        <v>10</v>
      </c>
      <c r="H28" s="80">
        <f>IFERROR(G28*VLOOKUP(D28,食物数据库V3!$B$6:$K$59,2,FALSE)/100,0)</f>
        <v>0</v>
      </c>
      <c r="I28" s="80">
        <f>IFERROR(G28*VLOOKUP(D28,食物数据库V3!$B$6:$K$59,3,FALSE)/100,0)</f>
        <v>0</v>
      </c>
      <c r="J28" s="80">
        <f>IFERROR(G28*VLOOKUP(D28,食物数据库V3!$B$6:$K$59,4,FALSE)/100,0)</f>
        <v>10</v>
      </c>
      <c r="K28" s="80">
        <f>IFERROR(G28*VLOOKUP(D28,食物数据库V3!$B$6:$K$59,5,FALSE)/100,0)</f>
        <v>90</v>
      </c>
      <c r="L28" s="72"/>
      <c r="M28" s="72"/>
      <c r="N28" s="72"/>
      <c r="O28" s="72"/>
      <c r="P28" s="72"/>
      <c r="Q28" s="72"/>
      <c r="R28" s="72"/>
      <c r="S28" s="72"/>
      <c r="T28" s="72"/>
    </row>
    <row r="29" ht="22" customHeight="1" spans="1:20">
      <c r="A29" s="77" t="s">
        <v>80</v>
      </c>
      <c r="B29" s="77">
        <v>4</v>
      </c>
      <c r="C29" s="78" t="s">
        <v>188</v>
      </c>
      <c r="D29" s="78" t="s">
        <v>131</v>
      </c>
      <c r="E29" s="78" t="str">
        <f>IF(D29="","",IFERROR(VLOOKUP(D29,食物数据库V3!$B$6:$K$59,8,FALSE),""))</f>
        <v>生重</v>
      </c>
      <c r="F29" s="79">
        <v>200</v>
      </c>
      <c r="G29" s="80">
        <f>IF(OR(D29="",F29=""),0,IFERROR(F29*IF(OR(VLOOKUP(D29,食物数据库V3!$B$6:$K$59,7,FALSE)="无需换算",E29=VLOOKUP(D29,食物数据库V3!$B$6:$K$59,7,FALSE)),1,IF(E29="熟重",1/VLOOKUP(D29,食物数据库V3!$B$6:$K$59,9,FALSE),VLOOKUP(D29,食物数据库V3!$B$6:$K$59,9,FALSE))),0))</f>
        <v>200</v>
      </c>
      <c r="H29" s="80">
        <f>IFERROR(G29*VLOOKUP(D29,食物数据库V3!$B$6:$K$59,2,FALSE)/100,0)</f>
        <v>19.2</v>
      </c>
      <c r="I29" s="80">
        <f>IFERROR(G29*VLOOKUP(D29,食物数据库V3!$B$6:$K$59,3,FALSE)/100,0)</f>
        <v>1.8</v>
      </c>
      <c r="J29" s="80">
        <f>IFERROR(G29*VLOOKUP(D29,食物数据库V3!$B$6:$K$59,4,FALSE)/100,0)</f>
        <v>0.4</v>
      </c>
      <c r="K29" s="80">
        <f>IFERROR(G29*VLOOKUP(D29,食物数据库V3!$B$6:$K$59,5,FALSE)/100,0)</f>
        <v>88</v>
      </c>
      <c r="L29" s="72"/>
      <c r="M29" s="72"/>
      <c r="N29" s="72"/>
      <c r="O29" s="72"/>
      <c r="P29" s="72"/>
      <c r="Q29" s="72"/>
      <c r="R29" s="72"/>
      <c r="S29" s="72"/>
      <c r="T29" s="72"/>
    </row>
    <row r="30" ht="22" customHeight="1" spans="1:20">
      <c r="A30" s="77" t="s">
        <v>80</v>
      </c>
      <c r="B30" s="77">
        <v>5</v>
      </c>
      <c r="C30" s="78"/>
      <c r="D30" s="78"/>
      <c r="E30" s="78" t="str">
        <f>IF(D30="","",IFERROR(VLOOKUP(D30,食物数据库V3!$B$6:$K$59,8,FALSE),""))</f>
        <v/>
      </c>
      <c r="F30" s="79"/>
      <c r="G30" s="80">
        <f>IF(OR(D30="",F30=""),0,IFERROR(F30*IF(OR(VLOOKUP(D30,食物数据库V3!$B$6:$K$59,7,FALSE)="无需换算",E30=VLOOKUP(D30,食物数据库V3!$B$6:$K$59,7,FALSE)),1,IF(E30="熟重",1/VLOOKUP(D30,食物数据库V3!$B$6:$K$59,9,FALSE),VLOOKUP(D30,食物数据库V3!$B$6:$K$59,9,FALSE))),0))</f>
        <v>0</v>
      </c>
      <c r="H30" s="80">
        <f>IFERROR(G30*VLOOKUP(D30,食物数据库V3!$B$6:$K$59,2,FALSE)/100,0)</f>
        <v>0</v>
      </c>
      <c r="I30" s="80">
        <f>IFERROR(G30*VLOOKUP(D30,食物数据库V3!$B$6:$K$59,3,FALSE)/100,0)</f>
        <v>0</v>
      </c>
      <c r="J30" s="80">
        <f>IFERROR(G30*VLOOKUP(D30,食物数据库V3!$B$6:$K$59,4,FALSE)/100,0)</f>
        <v>0</v>
      </c>
      <c r="K30" s="80">
        <f>IFERROR(G30*VLOOKUP(D30,食物数据库V3!$B$6:$K$59,5,FALSE)/100,0)</f>
        <v>0</v>
      </c>
      <c r="L30" s="72"/>
      <c r="M30" s="72"/>
      <c r="N30" s="72"/>
      <c r="O30" s="72"/>
      <c r="P30" s="72"/>
      <c r="Q30" s="72"/>
      <c r="R30" s="72"/>
      <c r="S30" s="72"/>
      <c r="T30" s="72"/>
    </row>
    <row r="31" ht="22" customHeight="1" spans="1:20">
      <c r="A31" s="77" t="s">
        <v>80</v>
      </c>
      <c r="B31" s="77">
        <v>6</v>
      </c>
      <c r="C31" s="78"/>
      <c r="D31" s="78"/>
      <c r="E31" s="78" t="str">
        <f>IF(D31="","",IFERROR(VLOOKUP(D31,食物数据库V3!$B$6:$K$59,8,FALSE),""))</f>
        <v/>
      </c>
      <c r="F31" s="79"/>
      <c r="G31" s="80">
        <f>IF(OR(D31="",F31=""),0,IFERROR(F31*IF(OR(VLOOKUP(D31,食物数据库V3!$B$6:$K$59,7,FALSE)="无需换算",E31=VLOOKUP(D31,食物数据库V3!$B$6:$K$59,7,FALSE)),1,IF(E31="熟重",1/VLOOKUP(D31,食物数据库V3!$B$6:$K$59,9,FALSE),VLOOKUP(D31,食物数据库V3!$B$6:$K$59,9,FALSE))),0))</f>
        <v>0</v>
      </c>
      <c r="H31" s="80">
        <f>IFERROR(G31*VLOOKUP(D31,食物数据库V3!$B$6:$K$59,2,FALSE)/100,0)</f>
        <v>0</v>
      </c>
      <c r="I31" s="80">
        <f>IFERROR(G31*VLOOKUP(D31,食物数据库V3!$B$6:$K$59,3,FALSE)/100,0)</f>
        <v>0</v>
      </c>
      <c r="J31" s="80">
        <f>IFERROR(G31*VLOOKUP(D31,食物数据库V3!$B$6:$K$59,4,FALSE)/100,0)</f>
        <v>0</v>
      </c>
      <c r="K31" s="80">
        <f>IFERROR(G31*VLOOKUP(D31,食物数据库V3!$B$6:$K$59,5,FALSE)/100,0)</f>
        <v>0</v>
      </c>
      <c r="L31" s="72"/>
      <c r="M31" s="72"/>
      <c r="N31" s="72"/>
      <c r="O31" s="72"/>
      <c r="P31" s="72"/>
      <c r="Q31" s="72"/>
      <c r="R31" s="72"/>
      <c r="S31" s="72"/>
      <c r="T31" s="72"/>
    </row>
    <row r="32" spans="1:20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</row>
    <row r="33" spans="1:20">
      <c r="A33" s="81" t="s">
        <v>189</v>
      </c>
      <c r="B33" s="81"/>
      <c r="C33" s="81"/>
      <c r="D33" s="81"/>
      <c r="E33" s="81"/>
      <c r="F33" s="81"/>
      <c r="G33" s="72"/>
      <c r="H33" s="81" t="s">
        <v>190</v>
      </c>
      <c r="I33" s="81"/>
      <c r="J33" s="81"/>
      <c r="K33" s="81"/>
      <c r="L33" s="81"/>
      <c r="M33" s="72"/>
      <c r="N33" s="72"/>
      <c r="O33" s="72"/>
      <c r="P33" s="72"/>
      <c r="Q33" s="72"/>
      <c r="R33" s="72"/>
      <c r="S33" s="72"/>
      <c r="T33" s="72"/>
    </row>
    <row r="34" ht="23" customHeight="1" spans="1:20">
      <c r="A34" s="71" t="s">
        <v>69</v>
      </c>
      <c r="B34" s="71" t="s">
        <v>191</v>
      </c>
      <c r="C34" s="71" t="s">
        <v>47</v>
      </c>
      <c r="D34" s="71" t="s">
        <v>48</v>
      </c>
      <c r="E34" s="71" t="s">
        <v>49</v>
      </c>
      <c r="F34" s="71" t="s">
        <v>155</v>
      </c>
      <c r="G34" s="72"/>
      <c r="H34" s="71" t="s">
        <v>151</v>
      </c>
      <c r="I34" s="71" t="s">
        <v>152</v>
      </c>
      <c r="J34" s="71" t="s">
        <v>153</v>
      </c>
      <c r="K34" s="71" t="s">
        <v>192</v>
      </c>
      <c r="L34" s="71" t="s">
        <v>23</v>
      </c>
      <c r="M34" s="72"/>
      <c r="N34" s="72"/>
      <c r="O34" s="72"/>
      <c r="P34" s="72"/>
      <c r="Q34" s="72"/>
      <c r="R34" s="72"/>
      <c r="S34" s="72"/>
      <c r="T34" s="72"/>
    </row>
    <row r="35" ht="23" customHeight="1" spans="1:20">
      <c r="A35" s="82" t="s">
        <v>74</v>
      </c>
      <c r="B35" s="83">
        <f>COUNTIF(D8:D13,"&lt;&gt;")</f>
        <v>3</v>
      </c>
      <c r="C35" s="84">
        <f>SUM(H8:H13)</f>
        <v>35.82</v>
      </c>
      <c r="D35" s="84">
        <f>SUM(I8:I13)</f>
        <v>25.12</v>
      </c>
      <c r="E35" s="84">
        <f>SUM(J8:J13)</f>
        <v>19.15</v>
      </c>
      <c r="F35" s="84">
        <f>SUM(K8:K13)</f>
        <v>417.5</v>
      </c>
      <c r="G35" s="72"/>
      <c r="H35" s="82" t="s">
        <v>47</v>
      </c>
      <c r="I35" s="84">
        <f>H4</f>
        <v>150.845070422535</v>
      </c>
      <c r="J35" s="70">
        <f>C39</f>
        <v>201.77</v>
      </c>
      <c r="K35" s="84">
        <f>J35-I35</f>
        <v>50.9249295774648</v>
      </c>
      <c r="L35" s="85" t="str">
        <f>IF(OR(I35="",I35=0),"",IF(ABS(K35)&lt;=I35*5%,"接近目标",IF(K35&gt;0,"偏高","偏低")))</f>
        <v>偏高</v>
      </c>
      <c r="M35" s="72"/>
      <c r="N35" s="72"/>
      <c r="O35" s="72"/>
      <c r="P35" s="72"/>
      <c r="Q35" s="72"/>
      <c r="R35" s="72"/>
      <c r="S35" s="72"/>
      <c r="T35" s="72"/>
    </row>
    <row r="36" ht="23" customHeight="1" spans="1:20">
      <c r="A36" s="82" t="s">
        <v>76</v>
      </c>
      <c r="B36" s="83">
        <f>COUNTIF(D14:D19,"&lt;&gt;")</f>
        <v>4</v>
      </c>
      <c r="C36" s="84">
        <f>SUM(H14:H19)</f>
        <v>68</v>
      </c>
      <c r="D36" s="84">
        <f>SUM(I14:I19)</f>
        <v>49.88</v>
      </c>
      <c r="E36" s="84">
        <f>SUM(J14:J19)</f>
        <v>14.04</v>
      </c>
      <c r="F36" s="84">
        <f>SUM(K14:K19)</f>
        <v>599</v>
      </c>
      <c r="G36" s="72"/>
      <c r="H36" s="82" t="s">
        <v>48</v>
      </c>
      <c r="I36" s="84">
        <f>J4</f>
        <v>119</v>
      </c>
      <c r="J36" s="70">
        <f>D39</f>
        <v>127.98</v>
      </c>
      <c r="K36" s="84">
        <f>J36-I36</f>
        <v>8.98000000000002</v>
      </c>
      <c r="L36" s="85" t="str">
        <f>IF(OR(I36="",I36=0),"",IF(ABS(K36)&lt;=I36*5%,"接近目标",IF(K36&gt;0,"偏高","偏低")))</f>
        <v>偏高</v>
      </c>
      <c r="M36" s="72"/>
      <c r="N36" s="72"/>
      <c r="O36" s="72"/>
      <c r="P36" s="72"/>
      <c r="Q36" s="72"/>
      <c r="R36" s="72"/>
      <c r="S36" s="72"/>
      <c r="T36" s="72"/>
    </row>
    <row r="37" ht="23" customHeight="1" spans="1:20">
      <c r="A37" s="82" t="s">
        <v>78</v>
      </c>
      <c r="B37" s="83">
        <f>COUNTIF(D20:D25,"&lt;&gt;")</f>
        <v>1</v>
      </c>
      <c r="C37" s="84">
        <f>SUM(H20:H25)</f>
        <v>30.15</v>
      </c>
      <c r="D37" s="84">
        <f>SUM(I20:I25)</f>
        <v>2.4</v>
      </c>
      <c r="E37" s="84">
        <f>SUM(J20:J25)</f>
        <v>0.15</v>
      </c>
      <c r="F37" s="84">
        <f>SUM(K20:K25)</f>
        <v>132</v>
      </c>
      <c r="G37" s="72"/>
      <c r="H37" s="82" t="s">
        <v>49</v>
      </c>
      <c r="I37" s="84">
        <f>L4</f>
        <v>76.5133020344288</v>
      </c>
      <c r="J37" s="70">
        <f>E39</f>
        <v>46.62</v>
      </c>
      <c r="K37" s="84">
        <f>J37-I37</f>
        <v>-29.8933020344288</v>
      </c>
      <c r="L37" s="85" t="str">
        <f>IF(OR(I37="",I37=0),"",IF(ABS(K37)&lt;=I37*5%,"接近目标",IF(K37&gt;0,"偏高","偏低")))</f>
        <v>偏低</v>
      </c>
      <c r="M37" s="72"/>
      <c r="N37" s="72"/>
      <c r="O37" s="72"/>
      <c r="P37" s="72"/>
      <c r="Q37" s="72"/>
      <c r="R37" s="72"/>
      <c r="S37" s="72"/>
      <c r="T37" s="72"/>
    </row>
    <row r="38" ht="23" customHeight="1" spans="1:20">
      <c r="A38" s="82" t="s">
        <v>80</v>
      </c>
      <c r="B38" s="83">
        <f>COUNTIF(D26:D31,"&lt;&gt;")</f>
        <v>4</v>
      </c>
      <c r="C38" s="84">
        <f>SUM(H26:H31)</f>
        <v>67.8</v>
      </c>
      <c r="D38" s="84">
        <f>SUM(I26:I31)</f>
        <v>50.58</v>
      </c>
      <c r="E38" s="84">
        <f>SUM(J26:J31)</f>
        <v>13.28</v>
      </c>
      <c r="F38" s="84">
        <f>SUM(K26:K31)</f>
        <v>593.8</v>
      </c>
      <c r="G38" s="72"/>
      <c r="H38" s="82" t="s">
        <v>155</v>
      </c>
      <c r="I38" s="84">
        <f>H5</f>
        <v>1768</v>
      </c>
      <c r="J38" s="70">
        <f>F39</f>
        <v>1742.3</v>
      </c>
      <c r="K38" s="84">
        <f>J38-I38</f>
        <v>-25.7</v>
      </c>
      <c r="L38" s="85" t="str">
        <f>IF(OR(I38="",I38=0),"",IF(ABS(K38)&lt;=I38*5%,"接近目标",IF(K38&gt;0,"偏高","偏低")))</f>
        <v>接近目标</v>
      </c>
      <c r="M38" s="72"/>
      <c r="N38" s="72"/>
      <c r="O38" s="72"/>
      <c r="P38" s="72"/>
      <c r="Q38" s="72"/>
      <c r="R38" s="72"/>
      <c r="S38" s="72"/>
      <c r="T38" s="72"/>
    </row>
    <row r="39" ht="23" customHeight="1" spans="1:20">
      <c r="A39" s="86" t="s">
        <v>193</v>
      </c>
      <c r="B39" s="87">
        <f>SUM(B35:B38)</f>
        <v>12</v>
      </c>
      <c r="C39" s="88">
        <f>SUM(C35:C38)</f>
        <v>201.77</v>
      </c>
      <c r="D39" s="88">
        <f>SUM(D35:D38)</f>
        <v>127.98</v>
      </c>
      <c r="E39" s="88">
        <f>SUM(E35:E38)</f>
        <v>46.62</v>
      </c>
      <c r="F39" s="88">
        <f>SUM(F35:F38)</f>
        <v>1742.3</v>
      </c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</row>
    <row r="40" spans="1:20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</row>
    <row r="41" spans="1:20">
      <c r="A41" s="81" t="s">
        <v>156</v>
      </c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72"/>
      <c r="N41" s="72"/>
      <c r="O41" s="72"/>
      <c r="P41" s="72"/>
      <c r="Q41" s="72"/>
      <c r="R41" s="72"/>
      <c r="S41" s="72"/>
      <c r="T41" s="72"/>
    </row>
    <row r="42" ht="24" customHeight="1" spans="1:20">
      <c r="A42" s="89" t="s">
        <v>194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72"/>
      <c r="N42" s="72"/>
      <c r="O42" s="72"/>
      <c r="P42" s="72"/>
      <c r="Q42" s="72"/>
      <c r="R42" s="72"/>
      <c r="S42" s="72"/>
      <c r="T42" s="72"/>
    </row>
    <row r="43" ht="24" customHeight="1" spans="1:20">
      <c r="A43" s="90" t="s">
        <v>195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72"/>
      <c r="N43" s="72"/>
      <c r="O43" s="72"/>
      <c r="P43" s="72"/>
      <c r="Q43" s="72"/>
      <c r="R43" s="72"/>
      <c r="S43" s="72"/>
      <c r="T43" s="72"/>
    </row>
    <row r="44" ht="24" customHeight="1" spans="1:20">
      <c r="A44" s="89" t="s">
        <v>196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72"/>
      <c r="N44" s="72"/>
      <c r="O44" s="72"/>
      <c r="P44" s="72"/>
      <c r="Q44" s="72"/>
      <c r="R44" s="72"/>
      <c r="S44" s="72"/>
      <c r="T44" s="72"/>
    </row>
    <row r="45" ht="24" customHeight="1" spans="1:20">
      <c r="A45" s="90" t="s">
        <v>197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72"/>
      <c r="N45" s="72"/>
      <c r="O45" s="72"/>
      <c r="P45" s="72"/>
      <c r="Q45" s="72"/>
      <c r="R45" s="72"/>
      <c r="S45" s="72"/>
      <c r="T45" s="72"/>
    </row>
    <row r="46" ht="24" customHeight="1" spans="1:20">
      <c r="A46" s="89" t="s">
        <v>198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72"/>
      <c r="N46" s="72"/>
      <c r="O46" s="72"/>
      <c r="P46" s="72"/>
      <c r="Q46" s="72"/>
      <c r="R46" s="72"/>
      <c r="S46" s="72"/>
      <c r="T46" s="72"/>
    </row>
  </sheetData>
  <mergeCells count="11">
    <mergeCell ref="A1:L1"/>
    <mergeCell ref="A3:L3"/>
    <mergeCell ref="A6:L6"/>
    <mergeCell ref="A33:F33"/>
    <mergeCell ref="H33:L33"/>
    <mergeCell ref="A41:L41"/>
    <mergeCell ref="A42:L42"/>
    <mergeCell ref="A43:L43"/>
    <mergeCell ref="A44:L44"/>
    <mergeCell ref="A45:L45"/>
    <mergeCell ref="A46:L46"/>
  </mergeCells>
  <dataValidations count="5">
    <dataValidation type="list" sqref="B4">
      <formula1>CycleDays</formula1>
    </dataValidation>
    <dataValidation type="list" sqref="C8:C31">
      <formula1>"主食,蛋白质,脂肪,蔬菜"</formula1>
    </dataValidation>
    <dataValidation type="list" sqref="D8:D31">
      <formula1>INDIRECT(IF($C8="主食","CarbFoods",IF($C8="蛋白质","ProteinFoods",IF($C8="脂肪","FatFoods",IF($C8="蔬菜","VegFoods","")))))</formula1>
    </dataValidation>
    <dataValidation type="list" sqref="E8:E31">
      <formula1>"生重,熟重,无需换算"</formula1>
    </dataValidation>
    <dataValidation type="decimal" operator="between" sqref="F8:F31">
      <formula1>0</formula1>
      <formula2>5000</formula2>
    </dataValidation>
  </dataValidations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5"/>
  <sheetViews>
    <sheetView showGridLines="0" workbookViewId="0">
      <selection activeCell="A1" sqref="A1:U1"/>
    </sheetView>
  </sheetViews>
  <sheetFormatPr defaultColWidth="8.72566371681416" defaultRowHeight="13.5"/>
  <cols>
    <col min="1" max="1" width="9.63716814159292" customWidth="1"/>
    <col min="2" max="2" width="11.6371681415929" customWidth="1"/>
    <col min="3" max="3" width="12.6371681415929" customWidth="1"/>
    <col min="4" max="4" width="9.63716814159292" customWidth="1"/>
    <col min="5" max="5" width="12.6371681415929" customWidth="1"/>
    <col min="6" max="6" width="14.6371681415929" customWidth="1"/>
    <col min="7" max="18" width="11.6371681415929" customWidth="1"/>
    <col min="19" max="21" width="14.6371681415929" customWidth="1"/>
  </cols>
  <sheetData>
    <row r="1" ht="34" customHeight="1" spans="1:21">
      <c r="A1" s="55" t="s">
        <v>199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</row>
    <row r="2" ht="13.85" spans="1:2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ht="15.75" spans="1:21">
      <c r="A3" s="57" t="s">
        <v>200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</row>
    <row r="4" ht="40" customHeight="1" spans="1:21">
      <c r="A4" s="16" t="s">
        <v>41</v>
      </c>
      <c r="B4" s="16" t="s">
        <v>201</v>
      </c>
      <c r="C4" s="16" t="s">
        <v>202</v>
      </c>
      <c r="D4" s="16" t="s">
        <v>203</v>
      </c>
      <c r="E4" s="16" t="s">
        <v>45</v>
      </c>
      <c r="F4" s="16" t="s">
        <v>46</v>
      </c>
      <c r="G4" s="16" t="s">
        <v>204</v>
      </c>
      <c r="H4" s="16" t="s">
        <v>205</v>
      </c>
      <c r="I4" s="16" t="s">
        <v>206</v>
      </c>
      <c r="J4" s="16" t="s">
        <v>207</v>
      </c>
      <c r="K4" s="16" t="s">
        <v>208</v>
      </c>
      <c r="L4" s="16" t="s">
        <v>209</v>
      </c>
      <c r="M4" s="16" t="s">
        <v>210</v>
      </c>
      <c r="N4" s="16" t="s">
        <v>211</v>
      </c>
      <c r="O4" s="16" t="s">
        <v>212</v>
      </c>
      <c r="P4" s="16" t="s">
        <v>213</v>
      </c>
      <c r="Q4" s="16" t="s">
        <v>214</v>
      </c>
      <c r="R4" s="16" t="s">
        <v>215</v>
      </c>
      <c r="S4" s="16" t="s">
        <v>216</v>
      </c>
      <c r="T4" s="16" t="s">
        <v>217</v>
      </c>
      <c r="U4" s="16" t="s">
        <v>218</v>
      </c>
    </row>
    <row r="5" ht="13.9" spans="1:21">
      <c r="A5" s="58">
        <v>1</v>
      </c>
      <c r="B5" s="58" t="str">
        <f>V6周期计划!B20</f>
        <v>第1天</v>
      </c>
      <c r="C5" s="58" t="str">
        <f>IF(B5="未启用","",V6周期计划!C20)</f>
        <v>中碳日</v>
      </c>
      <c r="D5" s="58" t="str">
        <f>IF(B5="未启用","",V6周期计划!D20)</f>
        <v>是</v>
      </c>
      <c r="E5" s="58" t="str">
        <f>IF(B5="未启用","",V6周期计划!E20)</f>
        <v>晚饭前</v>
      </c>
      <c r="F5" s="58" t="str">
        <f>IF(B5="未启用","",V6周期计划!F20)</f>
        <v>训练日模板</v>
      </c>
      <c r="G5" s="59">
        <f>IF(B5="未启用","",V6周期计划!G20)</f>
        <v>150.845070422535</v>
      </c>
      <c r="H5" s="59">
        <f>IF(B5="未启用","",V6周期计划!H20)</f>
        <v>119</v>
      </c>
      <c r="I5" s="59">
        <f>IF(B5="未启用","",V6周期计划!I20)</f>
        <v>76.5133020344288</v>
      </c>
      <c r="J5" s="60">
        <f>IF(B5="未启用","",G5*IF(D5="是",V6设置!$B15,V6设置!$B23))</f>
        <v>37.7112676056338</v>
      </c>
      <c r="K5" s="60">
        <f>IF(B5="未启用","",H5*IF(D5="是",V6设置!$C15,V6设置!$C23))</f>
        <v>23.8</v>
      </c>
      <c r="L5" s="60">
        <f>IF(B5="未启用","",I5*IF(D5="是",V6设置!$D15,V6设置!$D23))</f>
        <v>15.3026604068858</v>
      </c>
      <c r="M5" s="60">
        <f>IF(B5="未启用","",G5*IF(D5="是",V6设置!$B16,V6设置!$B24))</f>
        <v>37.7112676056338</v>
      </c>
      <c r="N5" s="60">
        <f>IF(B5="未启用","",H5*IF(D5="是",V6设置!$C16,V6设置!$C24))</f>
        <v>47.6</v>
      </c>
      <c r="O5" s="60">
        <f>IF(B5="未启用","",I5*IF(D5="是",V6设置!$D16,V6设置!$D24))</f>
        <v>30.6053208137715</v>
      </c>
      <c r="P5" s="60">
        <f>IF(B5="未启用","",G5*IF(D5="是",V6设置!$B17,V6设置!$B25))</f>
        <v>15.0845070422535</v>
      </c>
      <c r="Q5" s="60">
        <f>IF(B5="未启用","",H5*IF(D5="是",V6设置!$C17,V6设置!$C25))</f>
        <v>0</v>
      </c>
      <c r="R5" s="60">
        <f>IF(B5="未启用","",I5*IF(D5="是",V6设置!$D17,V6设置!$D25))</f>
        <v>0</v>
      </c>
      <c r="S5" s="60">
        <f>IF(B5="未启用","",G5*IF(D5="是",V6设置!$B18,V6设置!$B26))</f>
        <v>60.3380281690141</v>
      </c>
      <c r="T5" s="60">
        <f>IF(B5="未启用","",H5*IF(D5="是",V6设置!$C18,V6设置!$C26))</f>
        <v>47.6</v>
      </c>
      <c r="U5" s="60">
        <f>IF(B5="未启用","",I5*IF(D5="是",V6设置!$D18,V6设置!$D26))</f>
        <v>30.6053208137715</v>
      </c>
    </row>
    <row r="6" ht="13.9" spans="1:21">
      <c r="A6" s="58">
        <v>2</v>
      </c>
      <c r="B6" s="58" t="str">
        <f>V6周期计划!B21</f>
        <v>第2天</v>
      </c>
      <c r="C6" s="58" t="str">
        <f>IF(B6="未启用","",V6周期计划!C21)</f>
        <v>低碳日</v>
      </c>
      <c r="D6" s="58" t="str">
        <f>IF(B6="未启用","",V6周期计划!D21)</f>
        <v>否</v>
      </c>
      <c r="E6" s="58" t="str">
        <f>IF(B6="未启用","",V6周期计划!E21)</f>
        <v>-</v>
      </c>
      <c r="F6" s="58" t="str">
        <f>IF(B6="未启用","",V6周期计划!F21)</f>
        <v>休息日模板</v>
      </c>
      <c r="G6" s="59">
        <f>IF(B6="未启用","",V6周期计划!G21)</f>
        <v>100.56338028169</v>
      </c>
      <c r="H6" s="59">
        <f>IF(B6="未启用","",V6周期计划!H21)</f>
        <v>119</v>
      </c>
      <c r="I6" s="59">
        <f>IF(B6="未启用","",V6周期计划!I21)</f>
        <v>98.8607198748044</v>
      </c>
      <c r="J6" s="60">
        <f>IF(B6="未启用","",G6*IF(D6="是",V6设置!$B15,V6设置!$B23))</f>
        <v>30.169014084507</v>
      </c>
      <c r="K6" s="60">
        <f>IF(B6="未启用","",H6*IF(D6="是",V6设置!$C15,V6设置!$C23))</f>
        <v>35.7</v>
      </c>
      <c r="L6" s="60">
        <f>IF(B6="未启用","",I6*IF(D6="是",V6设置!$D15,V6设置!$D23))</f>
        <v>29.6582159624413</v>
      </c>
      <c r="M6" s="60">
        <f>IF(B6="未启用","",G6*IF(D6="是",V6设置!$B16,V6设置!$B24))</f>
        <v>40.2253521126761</v>
      </c>
      <c r="N6" s="60">
        <f>IF(B6="未启用","",H6*IF(D6="是",V6设置!$C16,V6设置!$C24))</f>
        <v>47.6</v>
      </c>
      <c r="O6" s="60">
        <f>IF(B6="未启用","",I6*IF(D6="是",V6设置!$D16,V6设置!$D24))</f>
        <v>39.5442879499218</v>
      </c>
      <c r="P6" s="60">
        <f>IF(B6="未启用","",G6*IF(D6="是",V6设置!$B17,V6设置!$B25))</f>
        <v>0</v>
      </c>
      <c r="Q6" s="60">
        <f>IF(B6="未启用","",H6*IF(D6="是",V6设置!$C17,V6设置!$C25))</f>
        <v>0</v>
      </c>
      <c r="R6" s="60">
        <f>IF(B6="未启用","",I6*IF(D6="是",V6设置!$D17,V6设置!$D25))</f>
        <v>0</v>
      </c>
      <c r="S6" s="60">
        <f>IF(B6="未启用","",G6*IF(D6="是",V6设置!$B18,V6设置!$B26))</f>
        <v>30.169014084507</v>
      </c>
      <c r="T6" s="60">
        <f>IF(B6="未启用","",H6*IF(D6="是",V6设置!$C18,V6设置!$C26))</f>
        <v>35.7</v>
      </c>
      <c r="U6" s="60">
        <f>IF(B6="未启用","",I6*IF(D6="是",V6设置!$D18,V6设置!$D26))</f>
        <v>29.6582159624413</v>
      </c>
    </row>
    <row r="7" ht="13.9" spans="1:21">
      <c r="A7" s="58">
        <v>3</v>
      </c>
      <c r="B7" s="58" t="str">
        <f>V6周期计划!B22</f>
        <v>第3天</v>
      </c>
      <c r="C7" s="58" t="str">
        <f>IF(B7="未启用","",V6周期计划!C22)</f>
        <v>中碳日</v>
      </c>
      <c r="D7" s="58" t="str">
        <f>IF(B7="未启用","",V6周期计划!D22)</f>
        <v>是</v>
      </c>
      <c r="E7" s="58" t="str">
        <f>IF(B7="未启用","",V6周期计划!E22)</f>
        <v>晚饭前</v>
      </c>
      <c r="F7" s="58" t="str">
        <f>IF(B7="未启用","",V6周期计划!F22)</f>
        <v>训练日模板</v>
      </c>
      <c r="G7" s="59">
        <f>IF(B7="未启用","",V6周期计划!G22)</f>
        <v>150.845070422535</v>
      </c>
      <c r="H7" s="59">
        <f>IF(B7="未启用","",V6周期计划!H22)</f>
        <v>119</v>
      </c>
      <c r="I7" s="59">
        <f>IF(B7="未启用","",V6周期计划!I22)</f>
        <v>76.5133020344288</v>
      </c>
      <c r="J7" s="60">
        <f>IF(B7="未启用","",G7*IF(D7="是",V6设置!$B15,V6设置!$B23))</f>
        <v>37.7112676056338</v>
      </c>
      <c r="K7" s="60">
        <f>IF(B7="未启用","",H7*IF(D7="是",V6设置!$C15,V6设置!$C23))</f>
        <v>23.8</v>
      </c>
      <c r="L7" s="60">
        <f>IF(B7="未启用","",I7*IF(D7="是",V6设置!$D15,V6设置!$D23))</f>
        <v>15.3026604068858</v>
      </c>
      <c r="M7" s="60">
        <f>IF(B7="未启用","",G7*IF(D7="是",V6设置!$B16,V6设置!$B24))</f>
        <v>37.7112676056338</v>
      </c>
      <c r="N7" s="60">
        <f>IF(B7="未启用","",H7*IF(D7="是",V6设置!$C16,V6设置!$C24))</f>
        <v>47.6</v>
      </c>
      <c r="O7" s="60">
        <f>IF(B7="未启用","",I7*IF(D7="是",V6设置!$D16,V6设置!$D24))</f>
        <v>30.6053208137715</v>
      </c>
      <c r="P7" s="60">
        <f>IF(B7="未启用","",G7*IF(D7="是",V6设置!$B17,V6设置!$B25))</f>
        <v>15.0845070422535</v>
      </c>
      <c r="Q7" s="60">
        <f>IF(B7="未启用","",H7*IF(D7="是",V6设置!$C17,V6设置!$C25))</f>
        <v>0</v>
      </c>
      <c r="R7" s="60">
        <f>IF(B7="未启用","",I7*IF(D7="是",V6设置!$D17,V6设置!$D25))</f>
        <v>0</v>
      </c>
      <c r="S7" s="60">
        <f>IF(B7="未启用","",G7*IF(D7="是",V6设置!$B18,V6设置!$B26))</f>
        <v>60.3380281690141</v>
      </c>
      <c r="T7" s="60">
        <f>IF(B7="未启用","",H7*IF(D7="是",V6设置!$C18,V6设置!$C26))</f>
        <v>47.6</v>
      </c>
      <c r="U7" s="60">
        <f>IF(B7="未启用","",I7*IF(D7="是",V6设置!$D18,V6设置!$D26))</f>
        <v>30.6053208137715</v>
      </c>
    </row>
    <row r="8" ht="13.9" spans="1:21">
      <c r="A8" s="58">
        <v>4</v>
      </c>
      <c r="B8" s="58" t="str">
        <f>V6周期计划!B23</f>
        <v>第4天</v>
      </c>
      <c r="C8" s="58" t="str">
        <f>IF(B8="未启用","",V6周期计划!C23)</f>
        <v>高碳日</v>
      </c>
      <c r="D8" s="58" t="str">
        <f>IF(B8="未启用","",V6周期计划!D23)</f>
        <v>是</v>
      </c>
      <c r="E8" s="58" t="str">
        <f>IF(B8="未启用","",V6周期计划!E23)</f>
        <v>晚饭前</v>
      </c>
      <c r="F8" s="58" t="str">
        <f>IF(B8="未启用","",V6周期计划!F23)</f>
        <v>训练日模板</v>
      </c>
      <c r="G8" s="59">
        <f>IF(B8="未启用","",V6周期计划!G23)</f>
        <v>268.169014084507</v>
      </c>
      <c r="H8" s="59">
        <f>IF(B8="未启用","",V6周期计划!H23)</f>
        <v>119</v>
      </c>
      <c r="I8" s="59">
        <f>IF(B8="未启用","",V6周期计划!I23)</f>
        <v>24.3693270735524</v>
      </c>
      <c r="J8" s="60">
        <f>IF(B8="未启用","",G8*IF(D8="是",V6设置!$B15,V6设置!$B23))</f>
        <v>67.0422535211268</v>
      </c>
      <c r="K8" s="60">
        <f>IF(B8="未启用","",H8*IF(D8="是",V6设置!$C15,V6设置!$C23))</f>
        <v>23.8</v>
      </c>
      <c r="L8" s="60">
        <f>IF(B8="未启用","",I8*IF(D8="是",V6设置!$D15,V6设置!$D23))</f>
        <v>4.87386541471048</v>
      </c>
      <c r="M8" s="60">
        <f>IF(B8="未启用","",G8*IF(D8="是",V6设置!$B16,V6设置!$B24))</f>
        <v>67.0422535211268</v>
      </c>
      <c r="N8" s="60">
        <f>IF(B8="未启用","",H8*IF(D8="是",V6设置!$C16,V6设置!$C24))</f>
        <v>47.6</v>
      </c>
      <c r="O8" s="60">
        <f>IF(B8="未启用","",I8*IF(D8="是",V6设置!$D16,V6设置!$D24))</f>
        <v>9.74773082942097</v>
      </c>
      <c r="P8" s="60">
        <f>IF(B8="未启用","",G8*IF(D8="是",V6设置!$B17,V6设置!$B25))</f>
        <v>26.8169014084507</v>
      </c>
      <c r="Q8" s="60">
        <f>IF(B8="未启用","",H8*IF(D8="是",V6设置!$C17,V6设置!$C25))</f>
        <v>0</v>
      </c>
      <c r="R8" s="60">
        <f>IF(B8="未启用","",I8*IF(D8="是",V6设置!$D17,V6设置!$D25))</f>
        <v>0</v>
      </c>
      <c r="S8" s="60">
        <f>IF(B8="未启用","",G8*IF(D8="是",V6设置!$B18,V6设置!$B26))</f>
        <v>107.267605633803</v>
      </c>
      <c r="T8" s="60">
        <f>IF(B8="未启用","",H8*IF(D8="是",V6设置!$C18,V6设置!$C26))</f>
        <v>47.6</v>
      </c>
      <c r="U8" s="60">
        <f>IF(B8="未启用","",I8*IF(D8="是",V6设置!$D18,V6设置!$D26))</f>
        <v>9.74773082942097</v>
      </c>
    </row>
    <row r="9" ht="13.9" spans="1:21">
      <c r="A9" s="58">
        <v>5</v>
      </c>
      <c r="B9" s="58" t="str">
        <f>V6周期计划!B24</f>
        <v>第5天</v>
      </c>
      <c r="C9" s="58" t="str">
        <f>IF(B9="未启用","",V6周期计划!C24)</f>
        <v>低碳日</v>
      </c>
      <c r="D9" s="58" t="str">
        <f>IF(B9="未启用","",V6周期计划!D24)</f>
        <v>否</v>
      </c>
      <c r="E9" s="58" t="str">
        <f>IF(B9="未启用","",V6周期计划!E24)</f>
        <v>-</v>
      </c>
      <c r="F9" s="58" t="str">
        <f>IF(B9="未启用","",V6周期计划!F24)</f>
        <v>休息日模板</v>
      </c>
      <c r="G9" s="59">
        <f>IF(B9="未启用","",V6周期计划!G24)</f>
        <v>100.56338028169</v>
      </c>
      <c r="H9" s="59">
        <f>IF(B9="未启用","",V6周期计划!H24)</f>
        <v>119</v>
      </c>
      <c r="I9" s="59">
        <f>IF(B9="未启用","",V6周期计划!I24)</f>
        <v>98.8607198748044</v>
      </c>
      <c r="J9" s="60">
        <f>IF(B9="未启用","",G9*IF(D9="是",V6设置!$B15,V6设置!$B23))</f>
        <v>30.169014084507</v>
      </c>
      <c r="K9" s="60">
        <f>IF(B9="未启用","",H9*IF(D9="是",V6设置!$C15,V6设置!$C23))</f>
        <v>35.7</v>
      </c>
      <c r="L9" s="60">
        <f>IF(B9="未启用","",I9*IF(D9="是",V6设置!$D15,V6设置!$D23))</f>
        <v>29.6582159624413</v>
      </c>
      <c r="M9" s="60">
        <f>IF(B9="未启用","",G9*IF(D9="是",V6设置!$B16,V6设置!$B24))</f>
        <v>40.2253521126761</v>
      </c>
      <c r="N9" s="60">
        <f>IF(B9="未启用","",H9*IF(D9="是",V6设置!$C16,V6设置!$C24))</f>
        <v>47.6</v>
      </c>
      <c r="O9" s="60">
        <f>IF(B9="未启用","",I9*IF(D9="是",V6设置!$D16,V6设置!$D24))</f>
        <v>39.5442879499218</v>
      </c>
      <c r="P9" s="60">
        <f>IF(B9="未启用","",G9*IF(D9="是",V6设置!$B17,V6设置!$B25))</f>
        <v>0</v>
      </c>
      <c r="Q9" s="60">
        <f>IF(B9="未启用","",H9*IF(D9="是",V6设置!$C17,V6设置!$C25))</f>
        <v>0</v>
      </c>
      <c r="R9" s="60">
        <f>IF(B9="未启用","",I9*IF(D9="是",V6设置!$D17,V6设置!$D25))</f>
        <v>0</v>
      </c>
      <c r="S9" s="60">
        <f>IF(B9="未启用","",G9*IF(D9="是",V6设置!$B18,V6设置!$B26))</f>
        <v>30.169014084507</v>
      </c>
      <c r="T9" s="60">
        <f>IF(B9="未启用","",H9*IF(D9="是",V6设置!$C18,V6设置!$C26))</f>
        <v>35.7</v>
      </c>
      <c r="U9" s="60">
        <f>IF(B9="未启用","",I9*IF(D9="是",V6设置!$D18,V6设置!$D26))</f>
        <v>29.6582159624413</v>
      </c>
    </row>
    <row r="10" ht="13.9" spans="1:21">
      <c r="A10" s="58">
        <v>6</v>
      </c>
      <c r="B10" s="58" t="str">
        <f>V6周期计划!B25</f>
        <v>第6天</v>
      </c>
      <c r="C10" s="58" t="str">
        <f>IF(B10="未启用","",V6周期计划!C25)</f>
        <v>中碳日</v>
      </c>
      <c r="D10" s="58" t="str">
        <f>IF(B10="未启用","",V6周期计划!D25)</f>
        <v>是</v>
      </c>
      <c r="E10" s="58" t="str">
        <f>IF(B10="未启用","",V6周期计划!E25)</f>
        <v>晚饭前</v>
      </c>
      <c r="F10" s="58" t="str">
        <f>IF(B10="未启用","",V6周期计划!F25)</f>
        <v>训练日模板</v>
      </c>
      <c r="G10" s="59">
        <f>IF(B10="未启用","",V6周期计划!G25)</f>
        <v>150.845070422535</v>
      </c>
      <c r="H10" s="59">
        <f>IF(B10="未启用","",V6周期计划!H25)</f>
        <v>119</v>
      </c>
      <c r="I10" s="59">
        <f>IF(B10="未启用","",V6周期计划!I25)</f>
        <v>76.5133020344288</v>
      </c>
      <c r="J10" s="60">
        <f>IF(B10="未启用","",G10*IF(D10="是",V6设置!$B15,V6设置!$B23))</f>
        <v>37.7112676056338</v>
      </c>
      <c r="K10" s="60">
        <f>IF(B10="未启用","",H10*IF(D10="是",V6设置!$C15,V6设置!$C23))</f>
        <v>23.8</v>
      </c>
      <c r="L10" s="60">
        <f>IF(B10="未启用","",I10*IF(D10="是",V6设置!$D15,V6设置!$D23))</f>
        <v>15.3026604068858</v>
      </c>
      <c r="M10" s="60">
        <f>IF(B10="未启用","",G10*IF(D10="是",V6设置!$B16,V6设置!$B24))</f>
        <v>37.7112676056338</v>
      </c>
      <c r="N10" s="60">
        <f>IF(B10="未启用","",H10*IF(D10="是",V6设置!$C16,V6设置!$C24))</f>
        <v>47.6</v>
      </c>
      <c r="O10" s="60">
        <f>IF(B10="未启用","",I10*IF(D10="是",V6设置!$D16,V6设置!$D24))</f>
        <v>30.6053208137715</v>
      </c>
      <c r="P10" s="60">
        <f>IF(B10="未启用","",G10*IF(D10="是",V6设置!$B17,V6设置!$B25))</f>
        <v>15.0845070422535</v>
      </c>
      <c r="Q10" s="60">
        <f>IF(B10="未启用","",H10*IF(D10="是",V6设置!$C17,V6设置!$C25))</f>
        <v>0</v>
      </c>
      <c r="R10" s="60">
        <f>IF(B10="未启用","",I10*IF(D10="是",V6设置!$D17,V6设置!$D25))</f>
        <v>0</v>
      </c>
      <c r="S10" s="60">
        <f>IF(B10="未启用","",G10*IF(D10="是",V6设置!$B18,V6设置!$B26))</f>
        <v>60.3380281690141</v>
      </c>
      <c r="T10" s="60">
        <f>IF(B10="未启用","",H10*IF(D10="是",V6设置!$C18,V6设置!$C26))</f>
        <v>47.6</v>
      </c>
      <c r="U10" s="60">
        <f>IF(B10="未启用","",I10*IF(D10="是",V6设置!$D18,V6设置!$D26))</f>
        <v>30.6053208137715</v>
      </c>
    </row>
    <row r="11" ht="13.9" spans="1:21">
      <c r="A11" s="58">
        <v>7</v>
      </c>
      <c r="B11" s="58" t="str">
        <f>V6周期计划!B26</f>
        <v>第7天</v>
      </c>
      <c r="C11" s="58" t="str">
        <f>IF(B11="未启用","",V6周期计划!C26)</f>
        <v>高碳日</v>
      </c>
      <c r="D11" s="58" t="str">
        <f>IF(B11="未启用","",V6周期计划!D26)</f>
        <v>否</v>
      </c>
      <c r="E11" s="58" t="str">
        <f>IF(B11="未启用","",V6周期计划!E26)</f>
        <v>-</v>
      </c>
      <c r="F11" s="58" t="str">
        <f>IF(B11="未启用","",V6周期计划!F26)</f>
        <v>休息日模板</v>
      </c>
      <c r="G11" s="59">
        <f>IF(B11="未启用","",V6周期计划!G26)</f>
        <v>268.169014084507</v>
      </c>
      <c r="H11" s="59">
        <f>IF(B11="未启用","",V6周期计划!H26)</f>
        <v>119</v>
      </c>
      <c r="I11" s="59">
        <f>IF(B11="未启用","",V6周期计划!I26)</f>
        <v>24.3693270735524</v>
      </c>
      <c r="J11" s="60">
        <f>IF(B11="未启用","",G11*IF(D11="是",V6设置!$B15,V6设置!$B23))</f>
        <v>80.4507042253521</v>
      </c>
      <c r="K11" s="60">
        <f>IF(B11="未启用","",H11*IF(D11="是",V6设置!$C15,V6设置!$C23))</f>
        <v>35.7</v>
      </c>
      <c r="L11" s="60">
        <f>IF(B11="未启用","",I11*IF(D11="是",V6设置!$D15,V6设置!$D23))</f>
        <v>7.31079812206573</v>
      </c>
      <c r="M11" s="60">
        <f>IF(B11="未启用","",G11*IF(D11="是",V6设置!$B16,V6设置!$B24))</f>
        <v>107.267605633803</v>
      </c>
      <c r="N11" s="60">
        <f>IF(B11="未启用","",H11*IF(D11="是",V6设置!$C16,V6设置!$C24))</f>
        <v>47.6</v>
      </c>
      <c r="O11" s="60">
        <f>IF(B11="未启用","",I11*IF(D11="是",V6设置!$D16,V6设置!$D24))</f>
        <v>9.74773082942097</v>
      </c>
      <c r="P11" s="60">
        <f>IF(B11="未启用","",G11*IF(D11="是",V6设置!$B17,V6设置!$B25))</f>
        <v>0</v>
      </c>
      <c r="Q11" s="60">
        <f>IF(B11="未启用","",H11*IF(D11="是",V6设置!$C17,V6设置!$C25))</f>
        <v>0</v>
      </c>
      <c r="R11" s="60">
        <f>IF(B11="未启用","",I11*IF(D11="是",V6设置!$D17,V6设置!$D25))</f>
        <v>0</v>
      </c>
      <c r="S11" s="60">
        <f>IF(B11="未启用","",G11*IF(D11="是",V6设置!$B18,V6设置!$B26))</f>
        <v>80.4507042253521</v>
      </c>
      <c r="T11" s="60">
        <f>IF(B11="未启用","",H11*IF(D11="是",V6设置!$C18,V6设置!$C26))</f>
        <v>35.7</v>
      </c>
      <c r="U11" s="60">
        <f>IF(B11="未启用","",I11*IF(D11="是",V6设置!$D18,V6设置!$D26))</f>
        <v>7.31079812206573</v>
      </c>
    </row>
    <row r="12" ht="13.9" spans="1:21">
      <c r="A12" s="58">
        <v>8</v>
      </c>
      <c r="B12" s="58" t="str">
        <f>V6周期计划!B27</f>
        <v>未启用</v>
      </c>
      <c r="C12" s="58" t="str">
        <f>IF(B12="未启用","",V6周期计划!C27)</f>
        <v/>
      </c>
      <c r="D12" s="58" t="str">
        <f>IF(B12="未启用","",V6周期计划!D27)</f>
        <v/>
      </c>
      <c r="E12" s="58" t="str">
        <f>IF(B12="未启用","",V6周期计划!E27)</f>
        <v/>
      </c>
      <c r="F12" s="58" t="str">
        <f>IF(B12="未启用","",V6周期计划!F27)</f>
        <v/>
      </c>
      <c r="G12" s="59" t="str">
        <f>IF(B12="未启用","",V6周期计划!G27)</f>
        <v/>
      </c>
      <c r="H12" s="59" t="str">
        <f>IF(B12="未启用","",V6周期计划!H27)</f>
        <v/>
      </c>
      <c r="I12" s="59" t="str">
        <f>IF(B12="未启用","",V6周期计划!I27)</f>
        <v/>
      </c>
      <c r="J12" s="60" t="str">
        <f>IF(B12="未启用","",G12*IF(D12="是",V6设置!$B15,V6设置!$B23))</f>
        <v/>
      </c>
      <c r="K12" s="60" t="str">
        <f>IF(B12="未启用","",H12*IF(D12="是",V6设置!$C15,V6设置!$C23))</f>
        <v/>
      </c>
      <c r="L12" s="60" t="str">
        <f>IF(B12="未启用","",I12*IF(D12="是",V6设置!$D15,V6设置!$D23))</f>
        <v/>
      </c>
      <c r="M12" s="60" t="str">
        <f>IF(B12="未启用","",G12*IF(D12="是",V6设置!$B16,V6设置!$B24))</f>
        <v/>
      </c>
      <c r="N12" s="60" t="str">
        <f>IF(B12="未启用","",H12*IF(D12="是",V6设置!$C16,V6设置!$C24))</f>
        <v/>
      </c>
      <c r="O12" s="60" t="str">
        <f>IF(B12="未启用","",I12*IF(D12="是",V6设置!$D16,V6设置!$D24))</f>
        <v/>
      </c>
      <c r="P12" s="60" t="str">
        <f>IF(B12="未启用","",G12*IF(D12="是",V6设置!$B17,V6设置!$B25))</f>
        <v/>
      </c>
      <c r="Q12" s="60" t="str">
        <f>IF(B12="未启用","",H12*IF(D12="是",V6设置!$C17,V6设置!$C25))</f>
        <v/>
      </c>
      <c r="R12" s="60" t="str">
        <f>IF(B12="未启用","",I12*IF(D12="是",V6设置!$D17,V6设置!$D25))</f>
        <v/>
      </c>
      <c r="S12" s="60" t="str">
        <f>IF(B12="未启用","",G12*IF(D12="是",V6设置!$B18,V6设置!$B26))</f>
        <v/>
      </c>
      <c r="T12" s="60" t="str">
        <f>IF(B12="未启用","",H12*IF(D12="是",V6设置!$C18,V6设置!$C26))</f>
        <v/>
      </c>
      <c r="U12" s="60" t="str">
        <f>IF(B12="未启用","",I12*IF(D12="是",V6设置!$D18,V6设置!$D26))</f>
        <v/>
      </c>
    </row>
    <row r="13" ht="13.9" spans="1:21">
      <c r="A13" s="58">
        <v>9</v>
      </c>
      <c r="B13" s="58" t="str">
        <f>V6周期计划!B28</f>
        <v>未启用</v>
      </c>
      <c r="C13" s="58" t="str">
        <f>IF(B13="未启用","",V6周期计划!C28)</f>
        <v/>
      </c>
      <c r="D13" s="58" t="str">
        <f>IF(B13="未启用","",V6周期计划!D28)</f>
        <v/>
      </c>
      <c r="E13" s="58" t="str">
        <f>IF(B13="未启用","",V6周期计划!E28)</f>
        <v/>
      </c>
      <c r="F13" s="58" t="str">
        <f>IF(B13="未启用","",V6周期计划!F28)</f>
        <v/>
      </c>
      <c r="G13" s="59" t="str">
        <f>IF(B13="未启用","",V6周期计划!G28)</f>
        <v/>
      </c>
      <c r="H13" s="59" t="str">
        <f>IF(B13="未启用","",V6周期计划!H28)</f>
        <v/>
      </c>
      <c r="I13" s="59" t="str">
        <f>IF(B13="未启用","",V6周期计划!I28)</f>
        <v/>
      </c>
      <c r="J13" s="60" t="str">
        <f>IF(B13="未启用","",G13*IF(D13="是",V6设置!$B15,V6设置!$B23))</f>
        <v/>
      </c>
      <c r="K13" s="60" t="str">
        <f>IF(B13="未启用","",H13*IF(D13="是",V6设置!$C15,V6设置!$C23))</f>
        <v/>
      </c>
      <c r="L13" s="60" t="str">
        <f>IF(B13="未启用","",I13*IF(D13="是",V6设置!$D15,V6设置!$D23))</f>
        <v/>
      </c>
      <c r="M13" s="60" t="str">
        <f>IF(B13="未启用","",G13*IF(D13="是",V6设置!$B16,V6设置!$B24))</f>
        <v/>
      </c>
      <c r="N13" s="60" t="str">
        <f>IF(B13="未启用","",H13*IF(D13="是",V6设置!$C16,V6设置!$C24))</f>
        <v/>
      </c>
      <c r="O13" s="60" t="str">
        <f>IF(B13="未启用","",I13*IF(D13="是",V6设置!$D16,V6设置!$D24))</f>
        <v/>
      </c>
      <c r="P13" s="60" t="str">
        <f>IF(B13="未启用","",G13*IF(D13="是",V6设置!$B17,V6设置!$B25))</f>
        <v/>
      </c>
      <c r="Q13" s="60" t="str">
        <f>IF(B13="未启用","",H13*IF(D13="是",V6设置!$C17,V6设置!$C25))</f>
        <v/>
      </c>
      <c r="R13" s="60" t="str">
        <f>IF(B13="未启用","",I13*IF(D13="是",V6设置!$D17,V6设置!$D25))</f>
        <v/>
      </c>
      <c r="S13" s="60" t="str">
        <f>IF(B13="未启用","",G13*IF(D13="是",V6设置!$B18,V6设置!$B26))</f>
        <v/>
      </c>
      <c r="T13" s="60" t="str">
        <f>IF(B13="未启用","",H13*IF(D13="是",V6设置!$C18,V6设置!$C26))</f>
        <v/>
      </c>
      <c r="U13" s="60" t="str">
        <f>IF(B13="未启用","",I13*IF(D13="是",V6设置!$D18,V6设置!$D26))</f>
        <v/>
      </c>
    </row>
    <row r="14" ht="13.9" spans="1:21">
      <c r="A14" s="58">
        <v>10</v>
      </c>
      <c r="B14" s="58" t="str">
        <f>V6周期计划!B29</f>
        <v>未启用</v>
      </c>
      <c r="C14" s="58" t="str">
        <f>IF(B14="未启用","",V6周期计划!C29)</f>
        <v/>
      </c>
      <c r="D14" s="58" t="str">
        <f>IF(B14="未启用","",V6周期计划!D29)</f>
        <v/>
      </c>
      <c r="E14" s="58" t="str">
        <f>IF(B14="未启用","",V6周期计划!E29)</f>
        <v/>
      </c>
      <c r="F14" s="58" t="str">
        <f>IF(B14="未启用","",V6周期计划!F29)</f>
        <v/>
      </c>
      <c r="G14" s="59" t="str">
        <f>IF(B14="未启用","",V6周期计划!G29)</f>
        <v/>
      </c>
      <c r="H14" s="59" t="str">
        <f>IF(B14="未启用","",V6周期计划!H29)</f>
        <v/>
      </c>
      <c r="I14" s="59" t="str">
        <f>IF(B14="未启用","",V6周期计划!I29)</f>
        <v/>
      </c>
      <c r="J14" s="60" t="str">
        <f>IF(B14="未启用","",G14*IF(D14="是",V6设置!$B15,V6设置!$B23))</f>
        <v/>
      </c>
      <c r="K14" s="60" t="str">
        <f>IF(B14="未启用","",H14*IF(D14="是",V6设置!$C15,V6设置!$C23))</f>
        <v/>
      </c>
      <c r="L14" s="60" t="str">
        <f>IF(B14="未启用","",I14*IF(D14="是",V6设置!$D15,V6设置!$D23))</f>
        <v/>
      </c>
      <c r="M14" s="60" t="str">
        <f>IF(B14="未启用","",G14*IF(D14="是",V6设置!$B16,V6设置!$B24))</f>
        <v/>
      </c>
      <c r="N14" s="60" t="str">
        <f>IF(B14="未启用","",H14*IF(D14="是",V6设置!$C16,V6设置!$C24))</f>
        <v/>
      </c>
      <c r="O14" s="60" t="str">
        <f>IF(B14="未启用","",I14*IF(D14="是",V6设置!$D16,V6设置!$D24))</f>
        <v/>
      </c>
      <c r="P14" s="60" t="str">
        <f>IF(B14="未启用","",G14*IF(D14="是",V6设置!$B17,V6设置!$B25))</f>
        <v/>
      </c>
      <c r="Q14" s="60" t="str">
        <f>IF(B14="未启用","",H14*IF(D14="是",V6设置!$C17,V6设置!$C25))</f>
        <v/>
      </c>
      <c r="R14" s="60" t="str">
        <f>IF(B14="未启用","",I14*IF(D14="是",V6设置!$D17,V6设置!$D25))</f>
        <v/>
      </c>
      <c r="S14" s="60" t="str">
        <f>IF(B14="未启用","",G14*IF(D14="是",V6设置!$B18,V6设置!$B26))</f>
        <v/>
      </c>
      <c r="T14" s="60" t="str">
        <f>IF(B14="未启用","",H14*IF(D14="是",V6设置!$C18,V6设置!$C26))</f>
        <v/>
      </c>
      <c r="U14" s="60" t="str">
        <f>IF(B14="未启用","",I14*IF(D14="是",V6设置!$D18,V6设置!$D26))</f>
        <v/>
      </c>
    </row>
    <row r="15" ht="13.9" spans="1:21">
      <c r="A15" s="58">
        <v>11</v>
      </c>
      <c r="B15" s="58" t="str">
        <f>V6周期计划!B30</f>
        <v>未启用</v>
      </c>
      <c r="C15" s="58" t="str">
        <f>IF(B15="未启用","",V6周期计划!C30)</f>
        <v/>
      </c>
      <c r="D15" s="58" t="str">
        <f>IF(B15="未启用","",V6周期计划!D30)</f>
        <v/>
      </c>
      <c r="E15" s="58" t="str">
        <f>IF(B15="未启用","",V6周期计划!E30)</f>
        <v/>
      </c>
      <c r="F15" s="58" t="str">
        <f>IF(B15="未启用","",V6周期计划!F30)</f>
        <v/>
      </c>
      <c r="G15" s="59" t="str">
        <f>IF(B15="未启用","",V6周期计划!G30)</f>
        <v/>
      </c>
      <c r="H15" s="59" t="str">
        <f>IF(B15="未启用","",V6周期计划!H30)</f>
        <v/>
      </c>
      <c r="I15" s="59" t="str">
        <f>IF(B15="未启用","",V6周期计划!I30)</f>
        <v/>
      </c>
      <c r="J15" s="60" t="str">
        <f>IF(B15="未启用","",G15*IF(D15="是",V6设置!$B15,V6设置!$B23))</f>
        <v/>
      </c>
      <c r="K15" s="60" t="str">
        <f>IF(B15="未启用","",H15*IF(D15="是",V6设置!$C15,V6设置!$C23))</f>
        <v/>
      </c>
      <c r="L15" s="60" t="str">
        <f>IF(B15="未启用","",I15*IF(D15="是",V6设置!$D15,V6设置!$D23))</f>
        <v/>
      </c>
      <c r="M15" s="60" t="str">
        <f>IF(B15="未启用","",G15*IF(D15="是",V6设置!$B16,V6设置!$B24))</f>
        <v/>
      </c>
      <c r="N15" s="60" t="str">
        <f>IF(B15="未启用","",H15*IF(D15="是",V6设置!$C16,V6设置!$C24))</f>
        <v/>
      </c>
      <c r="O15" s="60" t="str">
        <f>IF(B15="未启用","",I15*IF(D15="是",V6设置!$D16,V6设置!$D24))</f>
        <v/>
      </c>
      <c r="P15" s="60" t="str">
        <f>IF(B15="未启用","",G15*IF(D15="是",V6设置!$B17,V6设置!$B25))</f>
        <v/>
      </c>
      <c r="Q15" s="60" t="str">
        <f>IF(B15="未启用","",H15*IF(D15="是",V6设置!$C17,V6设置!$C25))</f>
        <v/>
      </c>
      <c r="R15" s="60" t="str">
        <f>IF(B15="未启用","",I15*IF(D15="是",V6设置!$D17,V6设置!$D25))</f>
        <v/>
      </c>
      <c r="S15" s="60" t="str">
        <f>IF(B15="未启用","",G15*IF(D15="是",V6设置!$B18,V6设置!$B26))</f>
        <v/>
      </c>
      <c r="T15" s="60" t="str">
        <f>IF(B15="未启用","",H15*IF(D15="是",V6设置!$C18,V6设置!$C26))</f>
        <v/>
      </c>
      <c r="U15" s="60" t="str">
        <f>IF(B15="未启用","",I15*IF(D15="是",V6设置!$D18,V6设置!$D26))</f>
        <v/>
      </c>
    </row>
    <row r="16" ht="13.9" spans="1:21">
      <c r="A16" s="58">
        <v>12</v>
      </c>
      <c r="B16" s="58" t="str">
        <f>V6周期计划!B31</f>
        <v>未启用</v>
      </c>
      <c r="C16" s="58" t="str">
        <f>IF(B16="未启用","",V6周期计划!C31)</f>
        <v/>
      </c>
      <c r="D16" s="58" t="str">
        <f>IF(B16="未启用","",V6周期计划!D31)</f>
        <v/>
      </c>
      <c r="E16" s="58" t="str">
        <f>IF(B16="未启用","",V6周期计划!E31)</f>
        <v/>
      </c>
      <c r="F16" s="58" t="str">
        <f>IF(B16="未启用","",V6周期计划!F31)</f>
        <v/>
      </c>
      <c r="G16" s="59" t="str">
        <f>IF(B16="未启用","",V6周期计划!G31)</f>
        <v/>
      </c>
      <c r="H16" s="59" t="str">
        <f>IF(B16="未启用","",V6周期计划!H31)</f>
        <v/>
      </c>
      <c r="I16" s="59" t="str">
        <f>IF(B16="未启用","",V6周期计划!I31)</f>
        <v/>
      </c>
      <c r="J16" s="60" t="str">
        <f>IF(B16="未启用","",G16*IF(D16="是",V6设置!$B15,V6设置!$B23))</f>
        <v/>
      </c>
      <c r="K16" s="60" t="str">
        <f>IF(B16="未启用","",H16*IF(D16="是",V6设置!$C15,V6设置!$C23))</f>
        <v/>
      </c>
      <c r="L16" s="60" t="str">
        <f>IF(B16="未启用","",I16*IF(D16="是",V6设置!$D15,V6设置!$D23))</f>
        <v/>
      </c>
      <c r="M16" s="60" t="str">
        <f>IF(B16="未启用","",G16*IF(D16="是",V6设置!$B16,V6设置!$B24))</f>
        <v/>
      </c>
      <c r="N16" s="60" t="str">
        <f>IF(B16="未启用","",H16*IF(D16="是",V6设置!$C16,V6设置!$C24))</f>
        <v/>
      </c>
      <c r="O16" s="60" t="str">
        <f>IF(B16="未启用","",I16*IF(D16="是",V6设置!$D16,V6设置!$D24))</f>
        <v/>
      </c>
      <c r="P16" s="60" t="str">
        <f>IF(B16="未启用","",G16*IF(D16="是",V6设置!$B17,V6设置!$B25))</f>
        <v/>
      </c>
      <c r="Q16" s="60" t="str">
        <f>IF(B16="未启用","",H16*IF(D16="是",V6设置!$C17,V6设置!$C25))</f>
        <v/>
      </c>
      <c r="R16" s="60" t="str">
        <f>IF(B16="未启用","",I16*IF(D16="是",V6设置!$D17,V6设置!$D25))</f>
        <v/>
      </c>
      <c r="S16" s="60" t="str">
        <f>IF(B16="未启用","",G16*IF(D16="是",V6设置!$B18,V6设置!$B26))</f>
        <v/>
      </c>
      <c r="T16" s="60" t="str">
        <f>IF(B16="未启用","",H16*IF(D16="是",V6设置!$C18,V6设置!$C26))</f>
        <v/>
      </c>
      <c r="U16" s="60" t="str">
        <f>IF(B16="未启用","",I16*IF(D16="是",V6设置!$D18,V6设置!$D26))</f>
        <v/>
      </c>
    </row>
    <row r="17" ht="13.9" spans="1:21">
      <c r="A17" s="58">
        <v>13</v>
      </c>
      <c r="B17" s="58" t="str">
        <f>V6周期计划!B32</f>
        <v>未启用</v>
      </c>
      <c r="C17" s="58" t="str">
        <f>IF(B17="未启用","",V6周期计划!C32)</f>
        <v/>
      </c>
      <c r="D17" s="58" t="str">
        <f>IF(B17="未启用","",V6周期计划!D32)</f>
        <v/>
      </c>
      <c r="E17" s="58" t="str">
        <f>IF(B17="未启用","",V6周期计划!E32)</f>
        <v/>
      </c>
      <c r="F17" s="58" t="str">
        <f>IF(B17="未启用","",V6周期计划!F32)</f>
        <v/>
      </c>
      <c r="G17" s="59" t="str">
        <f>IF(B17="未启用","",V6周期计划!G32)</f>
        <v/>
      </c>
      <c r="H17" s="59" t="str">
        <f>IF(B17="未启用","",V6周期计划!H32)</f>
        <v/>
      </c>
      <c r="I17" s="59" t="str">
        <f>IF(B17="未启用","",V6周期计划!I32)</f>
        <v/>
      </c>
      <c r="J17" s="60" t="str">
        <f>IF(B17="未启用","",G17*IF(D17="是",V6设置!$B15,V6设置!$B23))</f>
        <v/>
      </c>
      <c r="K17" s="60" t="str">
        <f>IF(B17="未启用","",H17*IF(D17="是",V6设置!$C15,V6设置!$C23))</f>
        <v/>
      </c>
      <c r="L17" s="60" t="str">
        <f>IF(B17="未启用","",I17*IF(D17="是",V6设置!$D15,V6设置!$D23))</f>
        <v/>
      </c>
      <c r="M17" s="60" t="str">
        <f>IF(B17="未启用","",G17*IF(D17="是",V6设置!$B16,V6设置!$B24))</f>
        <v/>
      </c>
      <c r="N17" s="60" t="str">
        <f>IF(B17="未启用","",H17*IF(D17="是",V6设置!$C16,V6设置!$C24))</f>
        <v/>
      </c>
      <c r="O17" s="60" t="str">
        <f>IF(B17="未启用","",I17*IF(D17="是",V6设置!$D16,V6设置!$D24))</f>
        <v/>
      </c>
      <c r="P17" s="60" t="str">
        <f>IF(B17="未启用","",G17*IF(D17="是",V6设置!$B17,V6设置!$B25))</f>
        <v/>
      </c>
      <c r="Q17" s="60" t="str">
        <f>IF(B17="未启用","",H17*IF(D17="是",V6设置!$C17,V6设置!$C25))</f>
        <v/>
      </c>
      <c r="R17" s="60" t="str">
        <f>IF(B17="未启用","",I17*IF(D17="是",V6设置!$D17,V6设置!$D25))</f>
        <v/>
      </c>
      <c r="S17" s="60" t="str">
        <f>IF(B17="未启用","",G17*IF(D17="是",V6设置!$B18,V6设置!$B26))</f>
        <v/>
      </c>
      <c r="T17" s="60" t="str">
        <f>IF(B17="未启用","",H17*IF(D17="是",V6设置!$C18,V6设置!$C26))</f>
        <v/>
      </c>
      <c r="U17" s="60" t="str">
        <f>IF(B17="未启用","",I17*IF(D17="是",V6设置!$D18,V6设置!$D26))</f>
        <v/>
      </c>
    </row>
    <row r="18" ht="13.9" spans="1:21">
      <c r="A18" s="58">
        <v>14</v>
      </c>
      <c r="B18" s="58" t="str">
        <f>V6周期计划!B33</f>
        <v>未启用</v>
      </c>
      <c r="C18" s="58" t="str">
        <f>IF(B18="未启用","",V6周期计划!C33)</f>
        <v/>
      </c>
      <c r="D18" s="58" t="str">
        <f>IF(B18="未启用","",V6周期计划!D33)</f>
        <v/>
      </c>
      <c r="E18" s="58" t="str">
        <f>IF(B18="未启用","",V6周期计划!E33)</f>
        <v/>
      </c>
      <c r="F18" s="58" t="str">
        <f>IF(B18="未启用","",V6周期计划!F33)</f>
        <v/>
      </c>
      <c r="G18" s="59" t="str">
        <f>IF(B18="未启用","",V6周期计划!G33)</f>
        <v/>
      </c>
      <c r="H18" s="59" t="str">
        <f>IF(B18="未启用","",V6周期计划!H33)</f>
        <v/>
      </c>
      <c r="I18" s="59" t="str">
        <f>IF(B18="未启用","",V6周期计划!I33)</f>
        <v/>
      </c>
      <c r="J18" s="60" t="str">
        <f>IF(B18="未启用","",G18*IF(D18="是",V6设置!$B15,V6设置!$B23))</f>
        <v/>
      </c>
      <c r="K18" s="60" t="str">
        <f>IF(B18="未启用","",H18*IF(D18="是",V6设置!$C15,V6设置!$C23))</f>
        <v/>
      </c>
      <c r="L18" s="60" t="str">
        <f>IF(B18="未启用","",I18*IF(D18="是",V6设置!$D15,V6设置!$D23))</f>
        <v/>
      </c>
      <c r="M18" s="60" t="str">
        <f>IF(B18="未启用","",G18*IF(D18="是",V6设置!$B16,V6设置!$B24))</f>
        <v/>
      </c>
      <c r="N18" s="60" t="str">
        <f>IF(B18="未启用","",H18*IF(D18="是",V6设置!$C16,V6设置!$C24))</f>
        <v/>
      </c>
      <c r="O18" s="60" t="str">
        <f>IF(B18="未启用","",I18*IF(D18="是",V6设置!$D16,V6设置!$D24))</f>
        <v/>
      </c>
      <c r="P18" s="60" t="str">
        <f>IF(B18="未启用","",G18*IF(D18="是",V6设置!$B17,V6设置!$B25))</f>
        <v/>
      </c>
      <c r="Q18" s="60" t="str">
        <f>IF(B18="未启用","",H18*IF(D18="是",V6设置!$C17,V6设置!$C25))</f>
        <v/>
      </c>
      <c r="R18" s="60" t="str">
        <f>IF(B18="未启用","",I18*IF(D18="是",V6设置!$D17,V6设置!$D25))</f>
        <v/>
      </c>
      <c r="S18" s="60" t="str">
        <f>IF(B18="未启用","",G18*IF(D18="是",V6设置!$B18,V6设置!$B26))</f>
        <v/>
      </c>
      <c r="T18" s="60" t="str">
        <f>IF(B18="未启用","",H18*IF(D18="是",V6设置!$C18,V6设置!$C26))</f>
        <v/>
      </c>
      <c r="U18" s="60" t="str">
        <f>IF(B18="未启用","",I18*IF(D18="是",V6设置!$D18,V6设置!$D26))</f>
        <v/>
      </c>
    </row>
    <row r="19" ht="13.9" spans="1:21">
      <c r="A19" s="58">
        <v>15</v>
      </c>
      <c r="B19" s="58" t="str">
        <f>V6周期计划!B34</f>
        <v>未启用</v>
      </c>
      <c r="C19" s="58" t="str">
        <f>IF(B19="未启用","",V6周期计划!C34)</f>
        <v/>
      </c>
      <c r="D19" s="58" t="str">
        <f>IF(B19="未启用","",V6周期计划!D34)</f>
        <v/>
      </c>
      <c r="E19" s="58" t="str">
        <f>IF(B19="未启用","",V6周期计划!E34)</f>
        <v/>
      </c>
      <c r="F19" s="58" t="str">
        <f>IF(B19="未启用","",V6周期计划!F34)</f>
        <v/>
      </c>
      <c r="G19" s="59" t="str">
        <f>IF(B19="未启用","",V6周期计划!G34)</f>
        <v/>
      </c>
      <c r="H19" s="59" t="str">
        <f>IF(B19="未启用","",V6周期计划!H34)</f>
        <v/>
      </c>
      <c r="I19" s="59" t="str">
        <f>IF(B19="未启用","",V6周期计划!I34)</f>
        <v/>
      </c>
      <c r="J19" s="60" t="str">
        <f>IF(B19="未启用","",G19*IF(D19="是",V6设置!$B15,V6设置!$B23))</f>
        <v/>
      </c>
      <c r="K19" s="60" t="str">
        <f>IF(B19="未启用","",H19*IF(D19="是",V6设置!$C15,V6设置!$C23))</f>
        <v/>
      </c>
      <c r="L19" s="60" t="str">
        <f>IF(B19="未启用","",I19*IF(D19="是",V6设置!$D15,V6设置!$D23))</f>
        <v/>
      </c>
      <c r="M19" s="60" t="str">
        <f>IF(B19="未启用","",G19*IF(D19="是",V6设置!$B16,V6设置!$B24))</f>
        <v/>
      </c>
      <c r="N19" s="60" t="str">
        <f>IF(B19="未启用","",H19*IF(D19="是",V6设置!$C16,V6设置!$C24))</f>
        <v/>
      </c>
      <c r="O19" s="60" t="str">
        <f>IF(B19="未启用","",I19*IF(D19="是",V6设置!$D16,V6设置!$D24))</f>
        <v/>
      </c>
      <c r="P19" s="60" t="str">
        <f>IF(B19="未启用","",G19*IF(D19="是",V6设置!$B17,V6设置!$B25))</f>
        <v/>
      </c>
      <c r="Q19" s="60" t="str">
        <f>IF(B19="未启用","",H19*IF(D19="是",V6设置!$C17,V6设置!$C25))</f>
        <v/>
      </c>
      <c r="R19" s="60" t="str">
        <f>IF(B19="未启用","",I19*IF(D19="是",V6设置!$D17,V6设置!$D25))</f>
        <v/>
      </c>
      <c r="S19" s="60" t="str">
        <f>IF(B19="未启用","",G19*IF(D19="是",V6设置!$B18,V6设置!$B26))</f>
        <v/>
      </c>
      <c r="T19" s="60" t="str">
        <f>IF(B19="未启用","",H19*IF(D19="是",V6设置!$C18,V6设置!$C26))</f>
        <v/>
      </c>
      <c r="U19" s="60" t="str">
        <f>IF(B19="未启用","",I19*IF(D19="是",V6设置!$D18,V6设置!$D26))</f>
        <v/>
      </c>
    </row>
    <row r="20" ht="13.9" spans="1:21">
      <c r="A20" s="58">
        <v>16</v>
      </c>
      <c r="B20" s="58" t="str">
        <f>V6周期计划!B35</f>
        <v>未启用</v>
      </c>
      <c r="C20" s="58" t="str">
        <f>IF(B20="未启用","",V6周期计划!C35)</f>
        <v/>
      </c>
      <c r="D20" s="58" t="str">
        <f>IF(B20="未启用","",V6周期计划!D35)</f>
        <v/>
      </c>
      <c r="E20" s="58" t="str">
        <f>IF(B20="未启用","",V6周期计划!E35)</f>
        <v/>
      </c>
      <c r="F20" s="58" t="str">
        <f>IF(B20="未启用","",V6周期计划!F35)</f>
        <v/>
      </c>
      <c r="G20" s="59" t="str">
        <f>IF(B20="未启用","",V6周期计划!G35)</f>
        <v/>
      </c>
      <c r="H20" s="59" t="str">
        <f>IF(B20="未启用","",V6周期计划!H35)</f>
        <v/>
      </c>
      <c r="I20" s="59" t="str">
        <f>IF(B20="未启用","",V6周期计划!I35)</f>
        <v/>
      </c>
      <c r="J20" s="60" t="str">
        <f>IF(B20="未启用","",G20*IF(D20="是",V6设置!$B15,V6设置!$B23))</f>
        <v/>
      </c>
      <c r="K20" s="60" t="str">
        <f>IF(B20="未启用","",H20*IF(D20="是",V6设置!$C15,V6设置!$C23))</f>
        <v/>
      </c>
      <c r="L20" s="60" t="str">
        <f>IF(B20="未启用","",I20*IF(D20="是",V6设置!$D15,V6设置!$D23))</f>
        <v/>
      </c>
      <c r="M20" s="60" t="str">
        <f>IF(B20="未启用","",G20*IF(D20="是",V6设置!$B16,V6设置!$B24))</f>
        <v/>
      </c>
      <c r="N20" s="60" t="str">
        <f>IF(B20="未启用","",H20*IF(D20="是",V6设置!$C16,V6设置!$C24))</f>
        <v/>
      </c>
      <c r="O20" s="60" t="str">
        <f>IF(B20="未启用","",I20*IF(D20="是",V6设置!$D16,V6设置!$D24))</f>
        <v/>
      </c>
      <c r="P20" s="60" t="str">
        <f>IF(B20="未启用","",G20*IF(D20="是",V6设置!$B17,V6设置!$B25))</f>
        <v/>
      </c>
      <c r="Q20" s="60" t="str">
        <f>IF(B20="未启用","",H20*IF(D20="是",V6设置!$C17,V6设置!$C25))</f>
        <v/>
      </c>
      <c r="R20" s="60" t="str">
        <f>IF(B20="未启用","",I20*IF(D20="是",V6设置!$D17,V6设置!$D25))</f>
        <v/>
      </c>
      <c r="S20" s="60" t="str">
        <f>IF(B20="未启用","",G20*IF(D20="是",V6设置!$B18,V6设置!$B26))</f>
        <v/>
      </c>
      <c r="T20" s="60" t="str">
        <f>IF(B20="未启用","",H20*IF(D20="是",V6设置!$C18,V6设置!$C26))</f>
        <v/>
      </c>
      <c r="U20" s="60" t="str">
        <f>IF(B20="未启用","",I20*IF(D20="是",V6设置!$D18,V6设置!$D26))</f>
        <v/>
      </c>
    </row>
    <row r="21" ht="13.9" spans="1:21">
      <c r="A21" s="58">
        <v>17</v>
      </c>
      <c r="B21" s="58" t="str">
        <f>V6周期计划!B36</f>
        <v>未启用</v>
      </c>
      <c r="C21" s="58" t="str">
        <f>IF(B21="未启用","",V6周期计划!C36)</f>
        <v/>
      </c>
      <c r="D21" s="58" t="str">
        <f>IF(B21="未启用","",V6周期计划!D36)</f>
        <v/>
      </c>
      <c r="E21" s="58" t="str">
        <f>IF(B21="未启用","",V6周期计划!E36)</f>
        <v/>
      </c>
      <c r="F21" s="58" t="str">
        <f>IF(B21="未启用","",V6周期计划!F36)</f>
        <v/>
      </c>
      <c r="G21" s="59" t="str">
        <f>IF(B21="未启用","",V6周期计划!G36)</f>
        <v/>
      </c>
      <c r="H21" s="59" t="str">
        <f>IF(B21="未启用","",V6周期计划!H36)</f>
        <v/>
      </c>
      <c r="I21" s="59" t="str">
        <f>IF(B21="未启用","",V6周期计划!I36)</f>
        <v/>
      </c>
      <c r="J21" s="60" t="str">
        <f>IF(B21="未启用","",G21*IF(D21="是",V6设置!$B15,V6设置!$B23))</f>
        <v/>
      </c>
      <c r="K21" s="60" t="str">
        <f>IF(B21="未启用","",H21*IF(D21="是",V6设置!$C15,V6设置!$C23))</f>
        <v/>
      </c>
      <c r="L21" s="60" t="str">
        <f>IF(B21="未启用","",I21*IF(D21="是",V6设置!$D15,V6设置!$D23))</f>
        <v/>
      </c>
      <c r="M21" s="60" t="str">
        <f>IF(B21="未启用","",G21*IF(D21="是",V6设置!$B16,V6设置!$B24))</f>
        <v/>
      </c>
      <c r="N21" s="60" t="str">
        <f>IF(B21="未启用","",H21*IF(D21="是",V6设置!$C16,V6设置!$C24))</f>
        <v/>
      </c>
      <c r="O21" s="60" t="str">
        <f>IF(B21="未启用","",I21*IF(D21="是",V6设置!$D16,V6设置!$D24))</f>
        <v/>
      </c>
      <c r="P21" s="60" t="str">
        <f>IF(B21="未启用","",G21*IF(D21="是",V6设置!$B17,V6设置!$B25))</f>
        <v/>
      </c>
      <c r="Q21" s="60" t="str">
        <f>IF(B21="未启用","",H21*IF(D21="是",V6设置!$C17,V6设置!$C25))</f>
        <v/>
      </c>
      <c r="R21" s="60" t="str">
        <f>IF(B21="未启用","",I21*IF(D21="是",V6设置!$D17,V6设置!$D25))</f>
        <v/>
      </c>
      <c r="S21" s="60" t="str">
        <f>IF(B21="未启用","",G21*IF(D21="是",V6设置!$B18,V6设置!$B26))</f>
        <v/>
      </c>
      <c r="T21" s="60" t="str">
        <f>IF(B21="未启用","",H21*IF(D21="是",V6设置!$C18,V6设置!$C26))</f>
        <v/>
      </c>
      <c r="U21" s="60" t="str">
        <f>IF(B21="未启用","",I21*IF(D21="是",V6设置!$D18,V6设置!$D26))</f>
        <v/>
      </c>
    </row>
    <row r="22" ht="13.9" spans="1:21">
      <c r="A22" s="58">
        <v>18</v>
      </c>
      <c r="B22" s="58" t="str">
        <f>V6周期计划!B37</f>
        <v>未启用</v>
      </c>
      <c r="C22" s="58" t="str">
        <f>IF(B22="未启用","",V6周期计划!C37)</f>
        <v/>
      </c>
      <c r="D22" s="58" t="str">
        <f>IF(B22="未启用","",V6周期计划!D37)</f>
        <v/>
      </c>
      <c r="E22" s="58" t="str">
        <f>IF(B22="未启用","",V6周期计划!E37)</f>
        <v/>
      </c>
      <c r="F22" s="58" t="str">
        <f>IF(B22="未启用","",V6周期计划!F37)</f>
        <v/>
      </c>
      <c r="G22" s="59" t="str">
        <f>IF(B22="未启用","",V6周期计划!G37)</f>
        <v/>
      </c>
      <c r="H22" s="59" t="str">
        <f>IF(B22="未启用","",V6周期计划!H37)</f>
        <v/>
      </c>
      <c r="I22" s="59" t="str">
        <f>IF(B22="未启用","",V6周期计划!I37)</f>
        <v/>
      </c>
      <c r="J22" s="60" t="str">
        <f>IF(B22="未启用","",G22*IF(D22="是",V6设置!$B15,V6设置!$B23))</f>
        <v/>
      </c>
      <c r="K22" s="60" t="str">
        <f>IF(B22="未启用","",H22*IF(D22="是",V6设置!$C15,V6设置!$C23))</f>
        <v/>
      </c>
      <c r="L22" s="60" t="str">
        <f>IF(B22="未启用","",I22*IF(D22="是",V6设置!$D15,V6设置!$D23))</f>
        <v/>
      </c>
      <c r="M22" s="60" t="str">
        <f>IF(B22="未启用","",G22*IF(D22="是",V6设置!$B16,V6设置!$B24))</f>
        <v/>
      </c>
      <c r="N22" s="60" t="str">
        <f>IF(B22="未启用","",H22*IF(D22="是",V6设置!$C16,V6设置!$C24))</f>
        <v/>
      </c>
      <c r="O22" s="60" t="str">
        <f>IF(B22="未启用","",I22*IF(D22="是",V6设置!$D16,V6设置!$D24))</f>
        <v/>
      </c>
      <c r="P22" s="60" t="str">
        <f>IF(B22="未启用","",G22*IF(D22="是",V6设置!$B17,V6设置!$B25))</f>
        <v/>
      </c>
      <c r="Q22" s="60" t="str">
        <f>IF(B22="未启用","",H22*IF(D22="是",V6设置!$C17,V6设置!$C25))</f>
        <v/>
      </c>
      <c r="R22" s="60" t="str">
        <f>IF(B22="未启用","",I22*IF(D22="是",V6设置!$D17,V6设置!$D25))</f>
        <v/>
      </c>
      <c r="S22" s="60" t="str">
        <f>IF(B22="未启用","",G22*IF(D22="是",V6设置!$B18,V6设置!$B26))</f>
        <v/>
      </c>
      <c r="T22" s="60" t="str">
        <f>IF(B22="未启用","",H22*IF(D22="是",V6设置!$C18,V6设置!$C26))</f>
        <v/>
      </c>
      <c r="U22" s="60" t="str">
        <f>IF(B22="未启用","",I22*IF(D22="是",V6设置!$D18,V6设置!$D26))</f>
        <v/>
      </c>
    </row>
    <row r="23" ht="13.9" spans="1:21">
      <c r="A23" s="58">
        <v>19</v>
      </c>
      <c r="B23" s="58" t="str">
        <f>V6周期计划!B38</f>
        <v>未启用</v>
      </c>
      <c r="C23" s="58" t="str">
        <f>IF(B23="未启用","",V6周期计划!C38)</f>
        <v/>
      </c>
      <c r="D23" s="58" t="str">
        <f>IF(B23="未启用","",V6周期计划!D38)</f>
        <v/>
      </c>
      <c r="E23" s="58" t="str">
        <f>IF(B23="未启用","",V6周期计划!E38)</f>
        <v/>
      </c>
      <c r="F23" s="58" t="str">
        <f>IF(B23="未启用","",V6周期计划!F38)</f>
        <v/>
      </c>
      <c r="G23" s="59" t="str">
        <f>IF(B23="未启用","",V6周期计划!G38)</f>
        <v/>
      </c>
      <c r="H23" s="59" t="str">
        <f>IF(B23="未启用","",V6周期计划!H38)</f>
        <v/>
      </c>
      <c r="I23" s="59" t="str">
        <f>IF(B23="未启用","",V6周期计划!I38)</f>
        <v/>
      </c>
      <c r="J23" s="60" t="str">
        <f>IF(B23="未启用","",G23*IF(D23="是",V6设置!$B15,V6设置!$B23))</f>
        <v/>
      </c>
      <c r="K23" s="60" t="str">
        <f>IF(B23="未启用","",H23*IF(D23="是",V6设置!$C15,V6设置!$C23))</f>
        <v/>
      </c>
      <c r="L23" s="60" t="str">
        <f>IF(B23="未启用","",I23*IF(D23="是",V6设置!$D15,V6设置!$D23))</f>
        <v/>
      </c>
      <c r="M23" s="60" t="str">
        <f>IF(B23="未启用","",G23*IF(D23="是",V6设置!$B16,V6设置!$B24))</f>
        <v/>
      </c>
      <c r="N23" s="60" t="str">
        <f>IF(B23="未启用","",H23*IF(D23="是",V6设置!$C16,V6设置!$C24))</f>
        <v/>
      </c>
      <c r="O23" s="60" t="str">
        <f>IF(B23="未启用","",I23*IF(D23="是",V6设置!$D16,V6设置!$D24))</f>
        <v/>
      </c>
      <c r="P23" s="60" t="str">
        <f>IF(B23="未启用","",G23*IF(D23="是",V6设置!$B17,V6设置!$B25))</f>
        <v/>
      </c>
      <c r="Q23" s="60" t="str">
        <f>IF(B23="未启用","",H23*IF(D23="是",V6设置!$C17,V6设置!$C25))</f>
        <v/>
      </c>
      <c r="R23" s="60" t="str">
        <f>IF(B23="未启用","",I23*IF(D23="是",V6设置!$D17,V6设置!$D25))</f>
        <v/>
      </c>
      <c r="S23" s="60" t="str">
        <f>IF(B23="未启用","",G23*IF(D23="是",V6设置!$B18,V6设置!$B26))</f>
        <v/>
      </c>
      <c r="T23" s="60" t="str">
        <f>IF(B23="未启用","",H23*IF(D23="是",V6设置!$C18,V6设置!$C26))</f>
        <v/>
      </c>
      <c r="U23" s="60" t="str">
        <f>IF(B23="未启用","",I23*IF(D23="是",V6设置!$D18,V6设置!$D26))</f>
        <v/>
      </c>
    </row>
    <row r="24" ht="13.9" spans="1:21">
      <c r="A24" s="58">
        <v>20</v>
      </c>
      <c r="B24" s="58" t="str">
        <f>V6周期计划!B39</f>
        <v>未启用</v>
      </c>
      <c r="C24" s="58" t="str">
        <f>IF(B24="未启用","",V6周期计划!C39)</f>
        <v/>
      </c>
      <c r="D24" s="58" t="str">
        <f>IF(B24="未启用","",V6周期计划!D39)</f>
        <v/>
      </c>
      <c r="E24" s="58" t="str">
        <f>IF(B24="未启用","",V6周期计划!E39)</f>
        <v/>
      </c>
      <c r="F24" s="58" t="str">
        <f>IF(B24="未启用","",V6周期计划!F39)</f>
        <v/>
      </c>
      <c r="G24" s="59" t="str">
        <f>IF(B24="未启用","",V6周期计划!G39)</f>
        <v/>
      </c>
      <c r="H24" s="59" t="str">
        <f>IF(B24="未启用","",V6周期计划!H39)</f>
        <v/>
      </c>
      <c r="I24" s="59" t="str">
        <f>IF(B24="未启用","",V6周期计划!I39)</f>
        <v/>
      </c>
      <c r="J24" s="60" t="str">
        <f>IF(B24="未启用","",G24*IF(D24="是",V6设置!$B15,V6设置!$B23))</f>
        <v/>
      </c>
      <c r="K24" s="60" t="str">
        <f>IF(B24="未启用","",H24*IF(D24="是",V6设置!$C15,V6设置!$C23))</f>
        <v/>
      </c>
      <c r="L24" s="60" t="str">
        <f>IF(B24="未启用","",I24*IF(D24="是",V6设置!$D15,V6设置!$D23))</f>
        <v/>
      </c>
      <c r="M24" s="60" t="str">
        <f>IF(B24="未启用","",G24*IF(D24="是",V6设置!$B16,V6设置!$B24))</f>
        <v/>
      </c>
      <c r="N24" s="60" t="str">
        <f>IF(B24="未启用","",H24*IF(D24="是",V6设置!$C16,V6设置!$C24))</f>
        <v/>
      </c>
      <c r="O24" s="60" t="str">
        <f>IF(B24="未启用","",I24*IF(D24="是",V6设置!$D16,V6设置!$D24))</f>
        <v/>
      </c>
      <c r="P24" s="60" t="str">
        <f>IF(B24="未启用","",G24*IF(D24="是",V6设置!$B17,V6设置!$B25))</f>
        <v/>
      </c>
      <c r="Q24" s="60" t="str">
        <f>IF(B24="未启用","",H24*IF(D24="是",V6设置!$C17,V6设置!$C25))</f>
        <v/>
      </c>
      <c r="R24" s="60" t="str">
        <f>IF(B24="未启用","",I24*IF(D24="是",V6设置!$D17,V6设置!$D25))</f>
        <v/>
      </c>
      <c r="S24" s="60" t="str">
        <f>IF(B24="未启用","",G24*IF(D24="是",V6设置!$B18,V6设置!$B26))</f>
        <v/>
      </c>
      <c r="T24" s="60" t="str">
        <f>IF(B24="未启用","",H24*IF(D24="是",V6设置!$C18,V6设置!$C26))</f>
        <v/>
      </c>
      <c r="U24" s="60" t="str">
        <f>IF(B24="未启用","",I24*IF(D24="是",V6设置!$D18,V6设置!$D26))</f>
        <v/>
      </c>
    </row>
    <row r="25" ht="13.9" spans="1:21">
      <c r="A25" s="58">
        <v>21</v>
      </c>
      <c r="B25" s="58" t="str">
        <f>V6周期计划!B40</f>
        <v>未启用</v>
      </c>
      <c r="C25" s="58" t="str">
        <f>IF(B25="未启用","",V6周期计划!C40)</f>
        <v/>
      </c>
      <c r="D25" s="58" t="str">
        <f>IF(B25="未启用","",V6周期计划!D40)</f>
        <v/>
      </c>
      <c r="E25" s="58" t="str">
        <f>IF(B25="未启用","",V6周期计划!E40)</f>
        <v/>
      </c>
      <c r="F25" s="58" t="str">
        <f>IF(B25="未启用","",V6周期计划!F40)</f>
        <v/>
      </c>
      <c r="G25" s="59" t="str">
        <f>IF(B25="未启用","",V6周期计划!G40)</f>
        <v/>
      </c>
      <c r="H25" s="59" t="str">
        <f>IF(B25="未启用","",V6周期计划!H40)</f>
        <v/>
      </c>
      <c r="I25" s="59" t="str">
        <f>IF(B25="未启用","",V6周期计划!I40)</f>
        <v/>
      </c>
      <c r="J25" s="60" t="str">
        <f>IF(B25="未启用","",G25*IF(D25="是",V6设置!$B15,V6设置!$B23))</f>
        <v/>
      </c>
      <c r="K25" s="60" t="str">
        <f>IF(B25="未启用","",H25*IF(D25="是",V6设置!$C15,V6设置!$C23))</f>
        <v/>
      </c>
      <c r="L25" s="60" t="str">
        <f>IF(B25="未启用","",I25*IF(D25="是",V6设置!$D15,V6设置!$D23))</f>
        <v/>
      </c>
      <c r="M25" s="60" t="str">
        <f>IF(B25="未启用","",G25*IF(D25="是",V6设置!$B16,V6设置!$B24))</f>
        <v/>
      </c>
      <c r="N25" s="60" t="str">
        <f>IF(B25="未启用","",H25*IF(D25="是",V6设置!$C16,V6设置!$C24))</f>
        <v/>
      </c>
      <c r="O25" s="60" t="str">
        <f>IF(B25="未启用","",I25*IF(D25="是",V6设置!$D16,V6设置!$D24))</f>
        <v/>
      </c>
      <c r="P25" s="60" t="str">
        <f>IF(B25="未启用","",G25*IF(D25="是",V6设置!$B17,V6设置!$B25))</f>
        <v/>
      </c>
      <c r="Q25" s="60" t="str">
        <f>IF(B25="未启用","",H25*IF(D25="是",V6设置!$C17,V6设置!$C25))</f>
        <v/>
      </c>
      <c r="R25" s="60" t="str">
        <f>IF(B25="未启用","",I25*IF(D25="是",V6设置!$D17,V6设置!$D25))</f>
        <v/>
      </c>
      <c r="S25" s="60" t="str">
        <f>IF(B25="未启用","",G25*IF(D25="是",V6设置!$B18,V6设置!$B26))</f>
        <v/>
      </c>
      <c r="T25" s="60" t="str">
        <f>IF(B25="未启用","",H25*IF(D25="是",V6设置!$C18,V6设置!$C26))</f>
        <v/>
      </c>
      <c r="U25" s="60" t="str">
        <f>IF(B25="未启用","",I25*IF(D25="是",V6设置!$D18,V6设置!$D26))</f>
        <v/>
      </c>
    </row>
    <row r="26" ht="13.9" spans="1:21">
      <c r="A26" s="58">
        <v>22</v>
      </c>
      <c r="B26" s="58" t="str">
        <f>V6周期计划!B41</f>
        <v>未启用</v>
      </c>
      <c r="C26" s="58" t="str">
        <f>IF(B26="未启用","",V6周期计划!C41)</f>
        <v/>
      </c>
      <c r="D26" s="58" t="str">
        <f>IF(B26="未启用","",V6周期计划!D41)</f>
        <v/>
      </c>
      <c r="E26" s="58" t="str">
        <f>IF(B26="未启用","",V6周期计划!E41)</f>
        <v/>
      </c>
      <c r="F26" s="58" t="str">
        <f>IF(B26="未启用","",V6周期计划!F41)</f>
        <v/>
      </c>
      <c r="G26" s="59" t="str">
        <f>IF(B26="未启用","",V6周期计划!G41)</f>
        <v/>
      </c>
      <c r="H26" s="59" t="str">
        <f>IF(B26="未启用","",V6周期计划!H41)</f>
        <v/>
      </c>
      <c r="I26" s="59" t="str">
        <f>IF(B26="未启用","",V6周期计划!I41)</f>
        <v/>
      </c>
      <c r="J26" s="60" t="str">
        <f>IF(B26="未启用","",G26*IF(D26="是",V6设置!$B15,V6设置!$B23))</f>
        <v/>
      </c>
      <c r="K26" s="60" t="str">
        <f>IF(B26="未启用","",H26*IF(D26="是",V6设置!$C15,V6设置!$C23))</f>
        <v/>
      </c>
      <c r="L26" s="60" t="str">
        <f>IF(B26="未启用","",I26*IF(D26="是",V6设置!$D15,V6设置!$D23))</f>
        <v/>
      </c>
      <c r="M26" s="60" t="str">
        <f>IF(B26="未启用","",G26*IF(D26="是",V6设置!$B16,V6设置!$B24))</f>
        <v/>
      </c>
      <c r="N26" s="60" t="str">
        <f>IF(B26="未启用","",H26*IF(D26="是",V6设置!$C16,V6设置!$C24))</f>
        <v/>
      </c>
      <c r="O26" s="60" t="str">
        <f>IF(B26="未启用","",I26*IF(D26="是",V6设置!$D16,V6设置!$D24))</f>
        <v/>
      </c>
      <c r="P26" s="60" t="str">
        <f>IF(B26="未启用","",G26*IF(D26="是",V6设置!$B17,V6设置!$B25))</f>
        <v/>
      </c>
      <c r="Q26" s="60" t="str">
        <f>IF(B26="未启用","",H26*IF(D26="是",V6设置!$C17,V6设置!$C25))</f>
        <v/>
      </c>
      <c r="R26" s="60" t="str">
        <f>IF(B26="未启用","",I26*IF(D26="是",V6设置!$D17,V6设置!$D25))</f>
        <v/>
      </c>
      <c r="S26" s="60" t="str">
        <f>IF(B26="未启用","",G26*IF(D26="是",V6设置!$B18,V6设置!$B26))</f>
        <v/>
      </c>
      <c r="T26" s="60" t="str">
        <f>IF(B26="未启用","",H26*IF(D26="是",V6设置!$C18,V6设置!$C26))</f>
        <v/>
      </c>
      <c r="U26" s="60" t="str">
        <f>IF(B26="未启用","",I26*IF(D26="是",V6设置!$D18,V6设置!$D26))</f>
        <v/>
      </c>
    </row>
    <row r="27" ht="13.9" spans="1:21">
      <c r="A27" s="58">
        <v>23</v>
      </c>
      <c r="B27" s="58" t="str">
        <f>V6周期计划!B42</f>
        <v>未启用</v>
      </c>
      <c r="C27" s="58" t="str">
        <f>IF(B27="未启用","",V6周期计划!C42)</f>
        <v/>
      </c>
      <c r="D27" s="58" t="str">
        <f>IF(B27="未启用","",V6周期计划!D42)</f>
        <v/>
      </c>
      <c r="E27" s="58" t="str">
        <f>IF(B27="未启用","",V6周期计划!E42)</f>
        <v/>
      </c>
      <c r="F27" s="58" t="str">
        <f>IF(B27="未启用","",V6周期计划!F42)</f>
        <v/>
      </c>
      <c r="G27" s="59" t="str">
        <f>IF(B27="未启用","",V6周期计划!G42)</f>
        <v/>
      </c>
      <c r="H27" s="59" t="str">
        <f>IF(B27="未启用","",V6周期计划!H42)</f>
        <v/>
      </c>
      <c r="I27" s="59" t="str">
        <f>IF(B27="未启用","",V6周期计划!I42)</f>
        <v/>
      </c>
      <c r="J27" s="60" t="str">
        <f>IF(B27="未启用","",G27*IF(D27="是",V6设置!$B15,V6设置!$B23))</f>
        <v/>
      </c>
      <c r="K27" s="60" t="str">
        <f>IF(B27="未启用","",H27*IF(D27="是",V6设置!$C15,V6设置!$C23))</f>
        <v/>
      </c>
      <c r="L27" s="60" t="str">
        <f>IF(B27="未启用","",I27*IF(D27="是",V6设置!$D15,V6设置!$D23))</f>
        <v/>
      </c>
      <c r="M27" s="60" t="str">
        <f>IF(B27="未启用","",G27*IF(D27="是",V6设置!$B16,V6设置!$B24))</f>
        <v/>
      </c>
      <c r="N27" s="60" t="str">
        <f>IF(B27="未启用","",H27*IF(D27="是",V6设置!$C16,V6设置!$C24))</f>
        <v/>
      </c>
      <c r="O27" s="60" t="str">
        <f>IF(B27="未启用","",I27*IF(D27="是",V6设置!$D16,V6设置!$D24))</f>
        <v/>
      </c>
      <c r="P27" s="60" t="str">
        <f>IF(B27="未启用","",G27*IF(D27="是",V6设置!$B17,V6设置!$B25))</f>
        <v/>
      </c>
      <c r="Q27" s="60" t="str">
        <f>IF(B27="未启用","",H27*IF(D27="是",V6设置!$C17,V6设置!$C25))</f>
        <v/>
      </c>
      <c r="R27" s="60" t="str">
        <f>IF(B27="未启用","",I27*IF(D27="是",V6设置!$D17,V6设置!$D25))</f>
        <v/>
      </c>
      <c r="S27" s="60" t="str">
        <f>IF(B27="未启用","",G27*IF(D27="是",V6设置!$B18,V6设置!$B26))</f>
        <v/>
      </c>
      <c r="T27" s="60" t="str">
        <f>IF(B27="未启用","",H27*IF(D27="是",V6设置!$C18,V6设置!$C26))</f>
        <v/>
      </c>
      <c r="U27" s="60" t="str">
        <f>IF(B27="未启用","",I27*IF(D27="是",V6设置!$D18,V6设置!$D26))</f>
        <v/>
      </c>
    </row>
    <row r="28" ht="13.9" spans="1:21">
      <c r="A28" s="58">
        <v>24</v>
      </c>
      <c r="B28" s="58" t="str">
        <f>V6周期计划!B43</f>
        <v>未启用</v>
      </c>
      <c r="C28" s="58" t="str">
        <f>IF(B28="未启用","",V6周期计划!C43)</f>
        <v/>
      </c>
      <c r="D28" s="58" t="str">
        <f>IF(B28="未启用","",V6周期计划!D43)</f>
        <v/>
      </c>
      <c r="E28" s="58" t="str">
        <f>IF(B28="未启用","",V6周期计划!E43)</f>
        <v/>
      </c>
      <c r="F28" s="58" t="str">
        <f>IF(B28="未启用","",V6周期计划!F43)</f>
        <v/>
      </c>
      <c r="G28" s="59" t="str">
        <f>IF(B28="未启用","",V6周期计划!G43)</f>
        <v/>
      </c>
      <c r="H28" s="59" t="str">
        <f>IF(B28="未启用","",V6周期计划!H43)</f>
        <v/>
      </c>
      <c r="I28" s="59" t="str">
        <f>IF(B28="未启用","",V6周期计划!I43)</f>
        <v/>
      </c>
      <c r="J28" s="60" t="str">
        <f>IF(B28="未启用","",G28*IF(D28="是",V6设置!$B15,V6设置!$B23))</f>
        <v/>
      </c>
      <c r="K28" s="60" t="str">
        <f>IF(B28="未启用","",H28*IF(D28="是",V6设置!$C15,V6设置!$C23))</f>
        <v/>
      </c>
      <c r="L28" s="60" t="str">
        <f>IF(B28="未启用","",I28*IF(D28="是",V6设置!$D15,V6设置!$D23))</f>
        <v/>
      </c>
      <c r="M28" s="60" t="str">
        <f>IF(B28="未启用","",G28*IF(D28="是",V6设置!$B16,V6设置!$B24))</f>
        <v/>
      </c>
      <c r="N28" s="60" t="str">
        <f>IF(B28="未启用","",H28*IF(D28="是",V6设置!$C16,V6设置!$C24))</f>
        <v/>
      </c>
      <c r="O28" s="60" t="str">
        <f>IF(B28="未启用","",I28*IF(D28="是",V6设置!$D16,V6设置!$D24))</f>
        <v/>
      </c>
      <c r="P28" s="60" t="str">
        <f>IF(B28="未启用","",G28*IF(D28="是",V6设置!$B17,V6设置!$B25))</f>
        <v/>
      </c>
      <c r="Q28" s="60" t="str">
        <f>IF(B28="未启用","",H28*IF(D28="是",V6设置!$C17,V6设置!$C25))</f>
        <v/>
      </c>
      <c r="R28" s="60" t="str">
        <f>IF(B28="未启用","",I28*IF(D28="是",V6设置!$D17,V6设置!$D25))</f>
        <v/>
      </c>
      <c r="S28" s="60" t="str">
        <f>IF(B28="未启用","",G28*IF(D28="是",V6设置!$B18,V6设置!$B26))</f>
        <v/>
      </c>
      <c r="T28" s="60" t="str">
        <f>IF(B28="未启用","",H28*IF(D28="是",V6设置!$C18,V6设置!$C26))</f>
        <v/>
      </c>
      <c r="U28" s="60" t="str">
        <f>IF(B28="未启用","",I28*IF(D28="是",V6设置!$D18,V6设置!$D26))</f>
        <v/>
      </c>
    </row>
    <row r="29" ht="13.9" spans="1:21">
      <c r="A29" s="58">
        <v>25</v>
      </c>
      <c r="B29" s="58" t="str">
        <f>V6周期计划!B44</f>
        <v>未启用</v>
      </c>
      <c r="C29" s="58" t="str">
        <f>IF(B29="未启用","",V6周期计划!C44)</f>
        <v/>
      </c>
      <c r="D29" s="58" t="str">
        <f>IF(B29="未启用","",V6周期计划!D44)</f>
        <v/>
      </c>
      <c r="E29" s="58" t="str">
        <f>IF(B29="未启用","",V6周期计划!E44)</f>
        <v/>
      </c>
      <c r="F29" s="58" t="str">
        <f>IF(B29="未启用","",V6周期计划!F44)</f>
        <v/>
      </c>
      <c r="G29" s="59" t="str">
        <f>IF(B29="未启用","",V6周期计划!G44)</f>
        <v/>
      </c>
      <c r="H29" s="59" t="str">
        <f>IF(B29="未启用","",V6周期计划!H44)</f>
        <v/>
      </c>
      <c r="I29" s="59" t="str">
        <f>IF(B29="未启用","",V6周期计划!I44)</f>
        <v/>
      </c>
      <c r="J29" s="60" t="str">
        <f>IF(B29="未启用","",G29*IF(D29="是",V6设置!$B15,V6设置!$B23))</f>
        <v/>
      </c>
      <c r="K29" s="60" t="str">
        <f>IF(B29="未启用","",H29*IF(D29="是",V6设置!$C15,V6设置!$C23))</f>
        <v/>
      </c>
      <c r="L29" s="60" t="str">
        <f>IF(B29="未启用","",I29*IF(D29="是",V6设置!$D15,V6设置!$D23))</f>
        <v/>
      </c>
      <c r="M29" s="60" t="str">
        <f>IF(B29="未启用","",G29*IF(D29="是",V6设置!$B16,V6设置!$B24))</f>
        <v/>
      </c>
      <c r="N29" s="60" t="str">
        <f>IF(B29="未启用","",H29*IF(D29="是",V6设置!$C16,V6设置!$C24))</f>
        <v/>
      </c>
      <c r="O29" s="60" t="str">
        <f>IF(B29="未启用","",I29*IF(D29="是",V6设置!$D16,V6设置!$D24))</f>
        <v/>
      </c>
      <c r="P29" s="60" t="str">
        <f>IF(B29="未启用","",G29*IF(D29="是",V6设置!$B17,V6设置!$B25))</f>
        <v/>
      </c>
      <c r="Q29" s="60" t="str">
        <f>IF(B29="未启用","",H29*IF(D29="是",V6设置!$C17,V6设置!$C25))</f>
        <v/>
      </c>
      <c r="R29" s="60" t="str">
        <f>IF(B29="未启用","",I29*IF(D29="是",V6设置!$D17,V6设置!$D25))</f>
        <v/>
      </c>
      <c r="S29" s="60" t="str">
        <f>IF(B29="未启用","",G29*IF(D29="是",V6设置!$B18,V6设置!$B26))</f>
        <v/>
      </c>
      <c r="T29" s="60" t="str">
        <f>IF(B29="未启用","",H29*IF(D29="是",V6设置!$C18,V6设置!$C26))</f>
        <v/>
      </c>
      <c r="U29" s="60" t="str">
        <f>IF(B29="未启用","",I29*IF(D29="是",V6设置!$D18,V6设置!$D26))</f>
        <v/>
      </c>
    </row>
    <row r="30" ht="13.9" spans="1:21">
      <c r="A30" s="58">
        <v>26</v>
      </c>
      <c r="B30" s="58" t="str">
        <f>V6周期计划!B45</f>
        <v>未启用</v>
      </c>
      <c r="C30" s="58" t="str">
        <f>IF(B30="未启用","",V6周期计划!C45)</f>
        <v/>
      </c>
      <c r="D30" s="58" t="str">
        <f>IF(B30="未启用","",V6周期计划!D45)</f>
        <v/>
      </c>
      <c r="E30" s="58" t="str">
        <f>IF(B30="未启用","",V6周期计划!E45)</f>
        <v/>
      </c>
      <c r="F30" s="58" t="str">
        <f>IF(B30="未启用","",V6周期计划!F45)</f>
        <v/>
      </c>
      <c r="G30" s="59" t="str">
        <f>IF(B30="未启用","",V6周期计划!G45)</f>
        <v/>
      </c>
      <c r="H30" s="59" t="str">
        <f>IF(B30="未启用","",V6周期计划!H45)</f>
        <v/>
      </c>
      <c r="I30" s="59" t="str">
        <f>IF(B30="未启用","",V6周期计划!I45)</f>
        <v/>
      </c>
      <c r="J30" s="60" t="str">
        <f>IF(B30="未启用","",G30*IF(D30="是",V6设置!$B15,V6设置!$B23))</f>
        <v/>
      </c>
      <c r="K30" s="60" t="str">
        <f>IF(B30="未启用","",H30*IF(D30="是",V6设置!$C15,V6设置!$C23))</f>
        <v/>
      </c>
      <c r="L30" s="60" t="str">
        <f>IF(B30="未启用","",I30*IF(D30="是",V6设置!$D15,V6设置!$D23))</f>
        <v/>
      </c>
      <c r="M30" s="60" t="str">
        <f>IF(B30="未启用","",G30*IF(D30="是",V6设置!$B16,V6设置!$B24))</f>
        <v/>
      </c>
      <c r="N30" s="60" t="str">
        <f>IF(B30="未启用","",H30*IF(D30="是",V6设置!$C16,V6设置!$C24))</f>
        <v/>
      </c>
      <c r="O30" s="60" t="str">
        <f>IF(B30="未启用","",I30*IF(D30="是",V6设置!$D16,V6设置!$D24))</f>
        <v/>
      </c>
      <c r="P30" s="60" t="str">
        <f>IF(B30="未启用","",G30*IF(D30="是",V6设置!$B17,V6设置!$B25))</f>
        <v/>
      </c>
      <c r="Q30" s="60" t="str">
        <f>IF(B30="未启用","",H30*IF(D30="是",V6设置!$C17,V6设置!$C25))</f>
        <v/>
      </c>
      <c r="R30" s="60" t="str">
        <f>IF(B30="未启用","",I30*IF(D30="是",V6设置!$D17,V6设置!$D25))</f>
        <v/>
      </c>
      <c r="S30" s="60" t="str">
        <f>IF(B30="未启用","",G30*IF(D30="是",V6设置!$B18,V6设置!$B26))</f>
        <v/>
      </c>
      <c r="T30" s="60" t="str">
        <f>IF(B30="未启用","",H30*IF(D30="是",V6设置!$C18,V6设置!$C26))</f>
        <v/>
      </c>
      <c r="U30" s="60" t="str">
        <f>IF(B30="未启用","",I30*IF(D30="是",V6设置!$D18,V6设置!$D26))</f>
        <v/>
      </c>
    </row>
    <row r="31" ht="13.9" spans="1:21">
      <c r="A31" s="58">
        <v>27</v>
      </c>
      <c r="B31" s="58" t="str">
        <f>V6周期计划!B46</f>
        <v>未启用</v>
      </c>
      <c r="C31" s="58" t="str">
        <f>IF(B31="未启用","",V6周期计划!C46)</f>
        <v/>
      </c>
      <c r="D31" s="58" t="str">
        <f>IF(B31="未启用","",V6周期计划!D46)</f>
        <v/>
      </c>
      <c r="E31" s="58" t="str">
        <f>IF(B31="未启用","",V6周期计划!E46)</f>
        <v/>
      </c>
      <c r="F31" s="58" t="str">
        <f>IF(B31="未启用","",V6周期计划!F46)</f>
        <v/>
      </c>
      <c r="G31" s="59" t="str">
        <f>IF(B31="未启用","",V6周期计划!G46)</f>
        <v/>
      </c>
      <c r="H31" s="59" t="str">
        <f>IF(B31="未启用","",V6周期计划!H46)</f>
        <v/>
      </c>
      <c r="I31" s="59" t="str">
        <f>IF(B31="未启用","",V6周期计划!I46)</f>
        <v/>
      </c>
      <c r="J31" s="60" t="str">
        <f>IF(B31="未启用","",G31*IF(D31="是",V6设置!$B15,V6设置!$B23))</f>
        <v/>
      </c>
      <c r="K31" s="60" t="str">
        <f>IF(B31="未启用","",H31*IF(D31="是",V6设置!$C15,V6设置!$C23))</f>
        <v/>
      </c>
      <c r="L31" s="60" t="str">
        <f>IF(B31="未启用","",I31*IF(D31="是",V6设置!$D15,V6设置!$D23))</f>
        <v/>
      </c>
      <c r="M31" s="60" t="str">
        <f>IF(B31="未启用","",G31*IF(D31="是",V6设置!$B16,V6设置!$B24))</f>
        <v/>
      </c>
      <c r="N31" s="60" t="str">
        <f>IF(B31="未启用","",H31*IF(D31="是",V6设置!$C16,V6设置!$C24))</f>
        <v/>
      </c>
      <c r="O31" s="60" t="str">
        <f>IF(B31="未启用","",I31*IF(D31="是",V6设置!$D16,V6设置!$D24))</f>
        <v/>
      </c>
      <c r="P31" s="60" t="str">
        <f>IF(B31="未启用","",G31*IF(D31="是",V6设置!$B17,V6设置!$B25))</f>
        <v/>
      </c>
      <c r="Q31" s="60" t="str">
        <f>IF(B31="未启用","",H31*IF(D31="是",V6设置!$C17,V6设置!$C25))</f>
        <v/>
      </c>
      <c r="R31" s="60" t="str">
        <f>IF(B31="未启用","",I31*IF(D31="是",V6设置!$D17,V6设置!$D25))</f>
        <v/>
      </c>
      <c r="S31" s="60" t="str">
        <f>IF(B31="未启用","",G31*IF(D31="是",V6设置!$B18,V6设置!$B26))</f>
        <v/>
      </c>
      <c r="T31" s="60" t="str">
        <f>IF(B31="未启用","",H31*IF(D31="是",V6设置!$C18,V6设置!$C26))</f>
        <v/>
      </c>
      <c r="U31" s="60" t="str">
        <f>IF(B31="未启用","",I31*IF(D31="是",V6设置!$D18,V6设置!$D26))</f>
        <v/>
      </c>
    </row>
    <row r="32" ht="13.9" spans="1:21">
      <c r="A32" s="58">
        <v>28</v>
      </c>
      <c r="B32" s="58" t="str">
        <f>V6周期计划!B47</f>
        <v>未启用</v>
      </c>
      <c r="C32" s="58" t="str">
        <f>IF(B32="未启用","",V6周期计划!C47)</f>
        <v/>
      </c>
      <c r="D32" s="58" t="str">
        <f>IF(B32="未启用","",V6周期计划!D47)</f>
        <v/>
      </c>
      <c r="E32" s="58" t="str">
        <f>IF(B32="未启用","",V6周期计划!E47)</f>
        <v/>
      </c>
      <c r="F32" s="58" t="str">
        <f>IF(B32="未启用","",V6周期计划!F47)</f>
        <v/>
      </c>
      <c r="G32" s="59" t="str">
        <f>IF(B32="未启用","",V6周期计划!G47)</f>
        <v/>
      </c>
      <c r="H32" s="59" t="str">
        <f>IF(B32="未启用","",V6周期计划!H47)</f>
        <v/>
      </c>
      <c r="I32" s="59" t="str">
        <f>IF(B32="未启用","",V6周期计划!I47)</f>
        <v/>
      </c>
      <c r="J32" s="60" t="str">
        <f>IF(B32="未启用","",G32*IF(D32="是",V6设置!$B15,V6设置!$B23))</f>
        <v/>
      </c>
      <c r="K32" s="60" t="str">
        <f>IF(B32="未启用","",H32*IF(D32="是",V6设置!$C15,V6设置!$C23))</f>
        <v/>
      </c>
      <c r="L32" s="60" t="str">
        <f>IF(B32="未启用","",I32*IF(D32="是",V6设置!$D15,V6设置!$D23))</f>
        <v/>
      </c>
      <c r="M32" s="60" t="str">
        <f>IF(B32="未启用","",G32*IF(D32="是",V6设置!$B16,V6设置!$B24))</f>
        <v/>
      </c>
      <c r="N32" s="60" t="str">
        <f>IF(B32="未启用","",H32*IF(D32="是",V6设置!$C16,V6设置!$C24))</f>
        <v/>
      </c>
      <c r="O32" s="60" t="str">
        <f>IF(B32="未启用","",I32*IF(D32="是",V6设置!$D16,V6设置!$D24))</f>
        <v/>
      </c>
      <c r="P32" s="60" t="str">
        <f>IF(B32="未启用","",G32*IF(D32="是",V6设置!$B17,V6设置!$B25))</f>
        <v/>
      </c>
      <c r="Q32" s="60" t="str">
        <f>IF(B32="未启用","",H32*IF(D32="是",V6设置!$C17,V6设置!$C25))</f>
        <v/>
      </c>
      <c r="R32" s="60" t="str">
        <f>IF(B32="未启用","",I32*IF(D32="是",V6设置!$D17,V6设置!$D25))</f>
        <v/>
      </c>
      <c r="S32" s="60" t="str">
        <f>IF(B32="未启用","",G32*IF(D32="是",V6设置!$B18,V6设置!$B26))</f>
        <v/>
      </c>
      <c r="T32" s="60" t="str">
        <f>IF(B32="未启用","",H32*IF(D32="是",V6设置!$C18,V6设置!$C26))</f>
        <v/>
      </c>
      <c r="U32" s="60" t="str">
        <f>IF(B32="未启用","",I32*IF(D32="是",V6设置!$D18,V6设置!$D26))</f>
        <v/>
      </c>
    </row>
    <row r="33" ht="13.9" spans="1:21">
      <c r="A33" s="58">
        <v>29</v>
      </c>
      <c r="B33" s="58" t="str">
        <f>V6周期计划!B48</f>
        <v>未启用</v>
      </c>
      <c r="C33" s="58" t="str">
        <f>IF(B33="未启用","",V6周期计划!C48)</f>
        <v/>
      </c>
      <c r="D33" s="58" t="str">
        <f>IF(B33="未启用","",V6周期计划!D48)</f>
        <v/>
      </c>
      <c r="E33" s="58" t="str">
        <f>IF(B33="未启用","",V6周期计划!E48)</f>
        <v/>
      </c>
      <c r="F33" s="58" t="str">
        <f>IF(B33="未启用","",V6周期计划!F48)</f>
        <v/>
      </c>
      <c r="G33" s="59" t="str">
        <f>IF(B33="未启用","",V6周期计划!G48)</f>
        <v/>
      </c>
      <c r="H33" s="59" t="str">
        <f>IF(B33="未启用","",V6周期计划!H48)</f>
        <v/>
      </c>
      <c r="I33" s="59" t="str">
        <f>IF(B33="未启用","",V6周期计划!I48)</f>
        <v/>
      </c>
      <c r="J33" s="60" t="str">
        <f>IF(B33="未启用","",G33*IF(D33="是",V6设置!$B15,V6设置!$B23))</f>
        <v/>
      </c>
      <c r="K33" s="60" t="str">
        <f>IF(B33="未启用","",H33*IF(D33="是",V6设置!$C15,V6设置!$C23))</f>
        <v/>
      </c>
      <c r="L33" s="60" t="str">
        <f>IF(B33="未启用","",I33*IF(D33="是",V6设置!$D15,V6设置!$D23))</f>
        <v/>
      </c>
      <c r="M33" s="60" t="str">
        <f>IF(B33="未启用","",G33*IF(D33="是",V6设置!$B16,V6设置!$B24))</f>
        <v/>
      </c>
      <c r="N33" s="60" t="str">
        <f>IF(B33="未启用","",H33*IF(D33="是",V6设置!$C16,V6设置!$C24))</f>
        <v/>
      </c>
      <c r="O33" s="60" t="str">
        <f>IF(B33="未启用","",I33*IF(D33="是",V6设置!$D16,V6设置!$D24))</f>
        <v/>
      </c>
      <c r="P33" s="60" t="str">
        <f>IF(B33="未启用","",G33*IF(D33="是",V6设置!$B17,V6设置!$B25))</f>
        <v/>
      </c>
      <c r="Q33" s="60" t="str">
        <f>IF(B33="未启用","",H33*IF(D33="是",V6设置!$C17,V6设置!$C25))</f>
        <v/>
      </c>
      <c r="R33" s="60" t="str">
        <f>IF(B33="未启用","",I33*IF(D33="是",V6设置!$D17,V6设置!$D25))</f>
        <v/>
      </c>
      <c r="S33" s="60" t="str">
        <f>IF(B33="未启用","",G33*IF(D33="是",V6设置!$B18,V6设置!$B26))</f>
        <v/>
      </c>
      <c r="T33" s="60" t="str">
        <f>IF(B33="未启用","",H33*IF(D33="是",V6设置!$C18,V6设置!$C26))</f>
        <v/>
      </c>
      <c r="U33" s="60" t="str">
        <f>IF(B33="未启用","",I33*IF(D33="是",V6设置!$D18,V6设置!$D26))</f>
        <v/>
      </c>
    </row>
    <row r="34" ht="13.9" spans="1:21">
      <c r="A34" s="58">
        <v>30</v>
      </c>
      <c r="B34" s="58" t="str">
        <f>V6周期计划!B49</f>
        <v>未启用</v>
      </c>
      <c r="C34" s="58" t="str">
        <f>IF(B34="未启用","",V6周期计划!C49)</f>
        <v/>
      </c>
      <c r="D34" s="58" t="str">
        <f>IF(B34="未启用","",V6周期计划!D49)</f>
        <v/>
      </c>
      <c r="E34" s="58" t="str">
        <f>IF(B34="未启用","",V6周期计划!E49)</f>
        <v/>
      </c>
      <c r="F34" s="58" t="str">
        <f>IF(B34="未启用","",V6周期计划!F49)</f>
        <v/>
      </c>
      <c r="G34" s="59" t="str">
        <f>IF(B34="未启用","",V6周期计划!G49)</f>
        <v/>
      </c>
      <c r="H34" s="59" t="str">
        <f>IF(B34="未启用","",V6周期计划!H49)</f>
        <v/>
      </c>
      <c r="I34" s="59" t="str">
        <f>IF(B34="未启用","",V6周期计划!I49)</f>
        <v/>
      </c>
      <c r="J34" s="60" t="str">
        <f>IF(B34="未启用","",G34*IF(D34="是",V6设置!$B15,V6设置!$B23))</f>
        <v/>
      </c>
      <c r="K34" s="60" t="str">
        <f>IF(B34="未启用","",H34*IF(D34="是",V6设置!$C15,V6设置!$C23))</f>
        <v/>
      </c>
      <c r="L34" s="60" t="str">
        <f>IF(B34="未启用","",I34*IF(D34="是",V6设置!$D15,V6设置!$D23))</f>
        <v/>
      </c>
      <c r="M34" s="60" t="str">
        <f>IF(B34="未启用","",G34*IF(D34="是",V6设置!$B16,V6设置!$B24))</f>
        <v/>
      </c>
      <c r="N34" s="60" t="str">
        <f>IF(B34="未启用","",H34*IF(D34="是",V6设置!$C16,V6设置!$C24))</f>
        <v/>
      </c>
      <c r="O34" s="60" t="str">
        <f>IF(B34="未启用","",I34*IF(D34="是",V6设置!$D16,V6设置!$D24))</f>
        <v/>
      </c>
      <c r="P34" s="60" t="str">
        <f>IF(B34="未启用","",G34*IF(D34="是",V6设置!$B17,V6设置!$B25))</f>
        <v/>
      </c>
      <c r="Q34" s="60" t="str">
        <f>IF(B34="未启用","",H34*IF(D34="是",V6设置!$C17,V6设置!$C25))</f>
        <v/>
      </c>
      <c r="R34" s="60" t="str">
        <f>IF(B34="未启用","",I34*IF(D34="是",V6设置!$D17,V6设置!$D25))</f>
        <v/>
      </c>
      <c r="S34" s="60" t="str">
        <f>IF(B34="未启用","",G34*IF(D34="是",V6设置!$B18,V6设置!$B26))</f>
        <v/>
      </c>
      <c r="T34" s="60" t="str">
        <f>IF(B34="未启用","",H34*IF(D34="是",V6设置!$C18,V6设置!$C26))</f>
        <v/>
      </c>
      <c r="U34" s="60" t="str">
        <f>IF(B34="未启用","",I34*IF(D34="是",V6设置!$D18,V6设置!$D26))</f>
        <v/>
      </c>
    </row>
    <row r="35" ht="13.9" spans="1:21">
      <c r="A35" s="58">
        <v>31</v>
      </c>
      <c r="B35" s="58" t="str">
        <f>V6周期计划!B50</f>
        <v>未启用</v>
      </c>
      <c r="C35" s="58" t="str">
        <f>IF(B35="未启用","",V6周期计划!C50)</f>
        <v/>
      </c>
      <c r="D35" s="58" t="str">
        <f>IF(B35="未启用","",V6周期计划!D50)</f>
        <v/>
      </c>
      <c r="E35" s="58" t="str">
        <f>IF(B35="未启用","",V6周期计划!E50)</f>
        <v/>
      </c>
      <c r="F35" s="58" t="str">
        <f>IF(B35="未启用","",V6周期计划!F50)</f>
        <v/>
      </c>
      <c r="G35" s="59" t="str">
        <f>IF(B35="未启用","",V6周期计划!G50)</f>
        <v/>
      </c>
      <c r="H35" s="59" t="str">
        <f>IF(B35="未启用","",V6周期计划!H50)</f>
        <v/>
      </c>
      <c r="I35" s="59" t="str">
        <f>IF(B35="未启用","",V6周期计划!I50)</f>
        <v/>
      </c>
      <c r="J35" s="60" t="str">
        <f>IF(B35="未启用","",G35*IF(D35="是",V6设置!$B15,V6设置!$B23))</f>
        <v/>
      </c>
      <c r="K35" s="60" t="str">
        <f>IF(B35="未启用","",H35*IF(D35="是",V6设置!$C15,V6设置!$C23))</f>
        <v/>
      </c>
      <c r="L35" s="60" t="str">
        <f>IF(B35="未启用","",I35*IF(D35="是",V6设置!$D15,V6设置!$D23))</f>
        <v/>
      </c>
      <c r="M35" s="60" t="str">
        <f>IF(B35="未启用","",G35*IF(D35="是",V6设置!$B16,V6设置!$B24))</f>
        <v/>
      </c>
      <c r="N35" s="60" t="str">
        <f>IF(B35="未启用","",H35*IF(D35="是",V6设置!$C16,V6设置!$C24))</f>
        <v/>
      </c>
      <c r="O35" s="60" t="str">
        <f>IF(B35="未启用","",I35*IF(D35="是",V6设置!$D16,V6设置!$D24))</f>
        <v/>
      </c>
      <c r="P35" s="60" t="str">
        <f>IF(B35="未启用","",G35*IF(D35="是",V6设置!$B17,V6设置!$B25))</f>
        <v/>
      </c>
      <c r="Q35" s="60" t="str">
        <f>IF(B35="未启用","",H35*IF(D35="是",V6设置!$C17,V6设置!$C25))</f>
        <v/>
      </c>
      <c r="R35" s="60" t="str">
        <f>IF(B35="未启用","",I35*IF(D35="是",V6设置!$D17,V6设置!$D25))</f>
        <v/>
      </c>
      <c r="S35" s="60" t="str">
        <f>IF(B35="未启用","",G35*IF(D35="是",V6设置!$B18,V6设置!$B26))</f>
        <v/>
      </c>
      <c r="T35" s="60" t="str">
        <f>IF(B35="未启用","",H35*IF(D35="是",V6设置!$C18,V6设置!$C26))</f>
        <v/>
      </c>
      <c r="U35" s="60" t="str">
        <f>IF(B35="未启用","",I35*IF(D35="是",V6设置!$D18,V6设置!$D26))</f>
        <v/>
      </c>
    </row>
    <row r="36" ht="14.65" spans="1:21">
      <c r="A36" s="61" t="s">
        <v>56</v>
      </c>
      <c r="B36" s="61"/>
      <c r="C36" s="61"/>
      <c r="D36" s="61"/>
      <c r="E36" s="61"/>
      <c r="F36" s="61"/>
      <c r="G36" s="62">
        <f t="shared" ref="G36:U36" si="0">SUM(G5:G35)</f>
        <v>1190</v>
      </c>
      <c r="H36" s="62">
        <f t="shared" si="0"/>
        <v>833</v>
      </c>
      <c r="I36" s="62">
        <f t="shared" si="0"/>
        <v>476</v>
      </c>
      <c r="J36" s="62">
        <f t="shared" si="0"/>
        <v>320.964788732394</v>
      </c>
      <c r="K36" s="62">
        <f t="shared" si="0"/>
        <v>202.3</v>
      </c>
      <c r="L36" s="62">
        <f t="shared" si="0"/>
        <v>117.409076682316</v>
      </c>
      <c r="M36" s="62">
        <f t="shared" si="0"/>
        <v>367.894366197183</v>
      </c>
      <c r="N36" s="62">
        <f t="shared" si="0"/>
        <v>333.2</v>
      </c>
      <c r="O36" s="62">
        <f t="shared" si="0"/>
        <v>190.4</v>
      </c>
      <c r="P36" s="62">
        <f t="shared" si="0"/>
        <v>72.0704225352113</v>
      </c>
      <c r="Q36" s="62">
        <f t="shared" si="0"/>
        <v>0</v>
      </c>
      <c r="R36" s="62">
        <f t="shared" si="0"/>
        <v>0</v>
      </c>
      <c r="S36" s="62">
        <f t="shared" si="0"/>
        <v>429.070422535211</v>
      </c>
      <c r="T36" s="62">
        <f t="shared" si="0"/>
        <v>297.5</v>
      </c>
      <c r="U36" s="62">
        <f t="shared" si="0"/>
        <v>168.190923317684</v>
      </c>
    </row>
    <row r="37" ht="13.85" spans="1:2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</row>
    <row r="38" ht="30" customHeight="1" spans="1:21">
      <c r="A38" s="63" t="s">
        <v>219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</row>
    <row r="39" ht="30" customHeight="1" spans="1:21">
      <c r="A39" s="63" t="s">
        <v>220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</row>
    <row r="40" ht="30" customHeight="1" spans="1:21">
      <c r="A40" s="63" t="s">
        <v>221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</row>
    <row r="41" ht="13.85" spans="1:2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</row>
    <row r="42" ht="13.85" spans="1:2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</row>
    <row r="43" ht="13.85" spans="1:21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</row>
    <row r="44" ht="13.85" spans="1:2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</row>
    <row r="45" ht="13.85" spans="1:2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</row>
  </sheetData>
  <mergeCells count="5">
    <mergeCell ref="A1:U1"/>
    <mergeCell ref="A3:U3"/>
    <mergeCell ref="A38:U38"/>
    <mergeCell ref="A39:U39"/>
    <mergeCell ref="A40:U40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K41"/>
  <sheetViews>
    <sheetView workbookViewId="0">
      <selection activeCell="A1" sqref="A1:K1"/>
    </sheetView>
  </sheetViews>
  <sheetFormatPr defaultColWidth="9" defaultRowHeight="13.5"/>
  <cols>
    <col min="1" max="1" width="12" customWidth="1"/>
    <col min="2" max="2" width="22" customWidth="1"/>
    <col min="3" max="5" width="12" customWidth="1"/>
    <col min="6" max="6" width="16.6371681415929" customWidth="1"/>
    <col min="7" max="7" width="12" customWidth="1"/>
    <col min="8" max="9" width="15.6371681415929" customWidth="1"/>
    <col min="10" max="10" width="17.6371681415929" customWidth="1"/>
    <col min="11" max="11" width="34.6371681415929" customWidth="1"/>
  </cols>
  <sheetData>
    <row r="1" ht="30" customHeight="1" spans="1:11">
      <c r="A1" s="22" t="s">
        <v>222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3" spans="1:11">
      <c r="A3" s="42" t="s">
        <v>223</v>
      </c>
      <c r="B3" s="42"/>
      <c r="C3" s="42"/>
      <c r="D3" s="42"/>
      <c r="E3" s="42"/>
      <c r="F3" s="42"/>
      <c r="G3" s="42"/>
      <c r="H3" s="42"/>
      <c r="I3" s="42"/>
      <c r="J3" s="42"/>
      <c r="K3" s="42"/>
    </row>
    <row r="5" spans="1:11">
      <c r="A5" s="28" t="s">
        <v>179</v>
      </c>
      <c r="B5" s="28" t="s">
        <v>224</v>
      </c>
      <c r="C5" s="28" t="s">
        <v>47</v>
      </c>
      <c r="D5" s="28" t="s">
        <v>48</v>
      </c>
      <c r="E5" s="28" t="s">
        <v>49</v>
      </c>
      <c r="F5" s="28" t="s">
        <v>225</v>
      </c>
      <c r="G5" s="28" t="s">
        <v>226</v>
      </c>
      <c r="H5" s="28" t="s">
        <v>227</v>
      </c>
      <c r="I5" s="28" t="s">
        <v>228</v>
      </c>
      <c r="J5" s="28" t="s">
        <v>229</v>
      </c>
      <c r="K5" s="28" t="s">
        <v>73</v>
      </c>
    </row>
    <row r="6" ht="27" spans="1:11">
      <c r="A6" s="43" t="s">
        <v>184</v>
      </c>
      <c r="B6" s="32" t="s">
        <v>141</v>
      </c>
      <c r="C6" s="34">
        <v>30</v>
      </c>
      <c r="D6" s="34">
        <v>2.6</v>
      </c>
      <c r="E6" s="34">
        <v>0.3</v>
      </c>
      <c r="F6" s="44">
        <f t="shared" ref="F6:F37" si="0">IF(B6="","",ROUND(C6*4+D6*4+E6*9,0))</f>
        <v>133</v>
      </c>
      <c r="G6" s="32" t="s">
        <v>230</v>
      </c>
      <c r="H6" s="34" t="s">
        <v>127</v>
      </c>
      <c r="I6" s="34" t="s">
        <v>127</v>
      </c>
      <c r="J6" s="45">
        <v>2.5</v>
      </c>
      <c r="K6" s="32" t="s">
        <v>231</v>
      </c>
    </row>
    <row r="7" spans="1:11">
      <c r="A7" s="43" t="s">
        <v>184</v>
      </c>
      <c r="B7" s="32" t="s">
        <v>126</v>
      </c>
      <c r="C7" s="34">
        <v>17</v>
      </c>
      <c r="D7" s="34">
        <v>2</v>
      </c>
      <c r="E7" s="34">
        <v>0.1</v>
      </c>
      <c r="F7" s="44">
        <f t="shared" si="0"/>
        <v>77</v>
      </c>
      <c r="G7" s="32" t="s">
        <v>230</v>
      </c>
      <c r="H7" s="34" t="s">
        <v>127</v>
      </c>
      <c r="I7" s="34" t="s">
        <v>127</v>
      </c>
      <c r="J7" s="45">
        <v>0.9</v>
      </c>
      <c r="K7" s="32" t="s">
        <v>232</v>
      </c>
    </row>
    <row r="8" spans="1:11">
      <c r="A8" s="43" t="s">
        <v>184</v>
      </c>
      <c r="B8" s="32" t="s">
        <v>146</v>
      </c>
      <c r="C8" s="34">
        <v>20.1</v>
      </c>
      <c r="D8" s="34">
        <v>1.6</v>
      </c>
      <c r="E8" s="34">
        <v>0.1</v>
      </c>
      <c r="F8" s="44">
        <f t="shared" si="0"/>
        <v>88</v>
      </c>
      <c r="G8" s="32" t="s">
        <v>230</v>
      </c>
      <c r="H8" s="34" t="s">
        <v>127</v>
      </c>
      <c r="I8" s="34" t="s">
        <v>127</v>
      </c>
      <c r="J8" s="45">
        <v>0.9</v>
      </c>
      <c r="K8" s="32" t="s">
        <v>233</v>
      </c>
    </row>
    <row r="9" spans="1:11">
      <c r="A9" s="43" t="s">
        <v>184</v>
      </c>
      <c r="B9" s="32" t="s">
        <v>133</v>
      </c>
      <c r="C9" s="34">
        <v>66.3</v>
      </c>
      <c r="D9" s="34">
        <v>16.9</v>
      </c>
      <c r="E9" s="34">
        <v>6.9</v>
      </c>
      <c r="F9" s="44">
        <f t="shared" si="0"/>
        <v>395</v>
      </c>
      <c r="G9" s="32" t="s">
        <v>230</v>
      </c>
      <c r="H9" s="34" t="s">
        <v>129</v>
      </c>
      <c r="I9" s="34" t="s">
        <v>129</v>
      </c>
      <c r="J9" s="45">
        <v>2.5</v>
      </c>
      <c r="K9" s="32" t="s">
        <v>234</v>
      </c>
    </row>
    <row r="10" spans="1:11">
      <c r="A10" s="43" t="s">
        <v>184</v>
      </c>
      <c r="B10" s="32" t="s">
        <v>137</v>
      </c>
      <c r="C10" s="34">
        <v>38</v>
      </c>
      <c r="D10" s="34">
        <v>11</v>
      </c>
      <c r="E10" s="34">
        <v>0</v>
      </c>
      <c r="F10" s="44">
        <f t="shared" si="0"/>
        <v>196</v>
      </c>
      <c r="G10" s="32" t="s">
        <v>230</v>
      </c>
      <c r="H10" s="34" t="s">
        <v>235</v>
      </c>
      <c r="I10" s="34" t="s">
        <v>127</v>
      </c>
      <c r="J10" s="45">
        <v>1</v>
      </c>
      <c r="K10" s="32" t="s">
        <v>236</v>
      </c>
    </row>
    <row r="11" spans="1:11">
      <c r="A11" s="43" t="s">
        <v>184</v>
      </c>
      <c r="B11" s="32" t="s">
        <v>237</v>
      </c>
      <c r="C11" s="34">
        <v>22.8</v>
      </c>
      <c r="D11" s="34">
        <v>3.4</v>
      </c>
      <c r="E11" s="34">
        <v>1.5</v>
      </c>
      <c r="F11" s="44">
        <f t="shared" si="0"/>
        <v>118</v>
      </c>
      <c r="G11" s="32" t="s">
        <v>230</v>
      </c>
      <c r="H11" s="34" t="s">
        <v>127</v>
      </c>
      <c r="I11" s="34" t="s">
        <v>127</v>
      </c>
      <c r="J11" s="45">
        <v>1.1</v>
      </c>
      <c r="K11" s="32" t="s">
        <v>238</v>
      </c>
    </row>
    <row r="12" spans="1:11">
      <c r="A12" s="43" t="s">
        <v>184</v>
      </c>
      <c r="B12" s="32" t="s">
        <v>239</v>
      </c>
      <c r="C12" s="34">
        <v>30</v>
      </c>
      <c r="D12" s="34">
        <v>5</v>
      </c>
      <c r="E12" s="34">
        <v>1.1</v>
      </c>
      <c r="F12" s="44">
        <f t="shared" si="0"/>
        <v>150</v>
      </c>
      <c r="G12" s="32" t="s">
        <v>230</v>
      </c>
      <c r="H12" s="34" t="s">
        <v>127</v>
      </c>
      <c r="I12" s="34" t="s">
        <v>127</v>
      </c>
      <c r="J12" s="45">
        <v>2.5</v>
      </c>
      <c r="K12" s="32" t="s">
        <v>240</v>
      </c>
    </row>
    <row r="13" spans="1:11">
      <c r="A13" s="43" t="s">
        <v>185</v>
      </c>
      <c r="B13" s="32" t="s">
        <v>143</v>
      </c>
      <c r="C13" s="34">
        <v>0</v>
      </c>
      <c r="D13" s="34">
        <v>22</v>
      </c>
      <c r="E13" s="34">
        <v>1.5</v>
      </c>
      <c r="F13" s="44">
        <f t="shared" si="0"/>
        <v>102</v>
      </c>
      <c r="G13" s="32" t="s">
        <v>230</v>
      </c>
      <c r="H13" s="34" t="s">
        <v>129</v>
      </c>
      <c r="I13" s="34" t="s">
        <v>129</v>
      </c>
      <c r="J13" s="45">
        <v>0.75</v>
      </c>
      <c r="K13" s="32" t="s">
        <v>241</v>
      </c>
    </row>
    <row r="14" spans="1:11">
      <c r="A14" s="43" t="s">
        <v>185</v>
      </c>
      <c r="B14" s="32" t="s">
        <v>242</v>
      </c>
      <c r="C14" s="34">
        <v>0</v>
      </c>
      <c r="D14" s="34">
        <v>28</v>
      </c>
      <c r="E14" s="34">
        <v>3.3</v>
      </c>
      <c r="F14" s="44">
        <f t="shared" si="0"/>
        <v>142</v>
      </c>
      <c r="G14" s="32" t="s">
        <v>230</v>
      </c>
      <c r="H14" s="34" t="s">
        <v>127</v>
      </c>
      <c r="I14" s="34" t="s">
        <v>127</v>
      </c>
      <c r="J14" s="45">
        <v>0.75</v>
      </c>
      <c r="K14" s="32" t="s">
        <v>243</v>
      </c>
    </row>
    <row r="15" spans="1:11">
      <c r="A15" s="43" t="s">
        <v>185</v>
      </c>
      <c r="B15" s="32" t="s">
        <v>128</v>
      </c>
      <c r="C15" s="34">
        <v>1.1</v>
      </c>
      <c r="D15" s="34">
        <v>12.6</v>
      </c>
      <c r="E15" s="34">
        <v>10</v>
      </c>
      <c r="F15" s="44">
        <f t="shared" si="0"/>
        <v>145</v>
      </c>
      <c r="G15" s="32" t="s">
        <v>230</v>
      </c>
      <c r="H15" s="34" t="s">
        <v>235</v>
      </c>
      <c r="I15" s="34" t="s">
        <v>127</v>
      </c>
      <c r="J15" s="45">
        <v>1</v>
      </c>
      <c r="K15" s="32" t="s">
        <v>244</v>
      </c>
    </row>
    <row r="16" spans="1:11">
      <c r="A16" s="43" t="s">
        <v>185</v>
      </c>
      <c r="B16" s="32" t="s">
        <v>134</v>
      </c>
      <c r="C16" s="34">
        <v>5</v>
      </c>
      <c r="D16" s="34">
        <v>3.4</v>
      </c>
      <c r="E16" s="34">
        <v>0.1</v>
      </c>
      <c r="F16" s="44">
        <f t="shared" si="0"/>
        <v>35</v>
      </c>
      <c r="G16" s="32" t="s">
        <v>230</v>
      </c>
      <c r="H16" s="34" t="s">
        <v>235</v>
      </c>
      <c r="I16" s="34" t="s">
        <v>127</v>
      </c>
      <c r="J16" s="45">
        <v>1</v>
      </c>
      <c r="K16" s="32" t="s">
        <v>245</v>
      </c>
    </row>
    <row r="17" spans="1:11">
      <c r="A17" s="43" t="s">
        <v>185</v>
      </c>
      <c r="B17" s="32" t="s">
        <v>138</v>
      </c>
      <c r="C17" s="34">
        <v>4</v>
      </c>
      <c r="D17" s="34">
        <v>10</v>
      </c>
      <c r="E17" s="34">
        <v>0.4</v>
      </c>
      <c r="F17" s="44">
        <f t="shared" si="0"/>
        <v>60</v>
      </c>
      <c r="G17" s="32" t="s">
        <v>230</v>
      </c>
      <c r="H17" s="34" t="s">
        <v>235</v>
      </c>
      <c r="I17" s="34" t="s">
        <v>127</v>
      </c>
      <c r="J17" s="45">
        <v>1</v>
      </c>
      <c r="K17" s="32" t="s">
        <v>246</v>
      </c>
    </row>
    <row r="18" spans="1:11">
      <c r="A18" s="43" t="s">
        <v>185</v>
      </c>
      <c r="B18" s="32" t="s">
        <v>147</v>
      </c>
      <c r="C18" s="34">
        <v>0</v>
      </c>
      <c r="D18" s="34">
        <v>26</v>
      </c>
      <c r="E18" s="34">
        <v>1</v>
      </c>
      <c r="F18" s="44">
        <f t="shared" si="0"/>
        <v>113</v>
      </c>
      <c r="G18" s="32" t="s">
        <v>230</v>
      </c>
      <c r="H18" s="34" t="s">
        <v>235</v>
      </c>
      <c r="I18" s="34" t="s">
        <v>127</v>
      </c>
      <c r="J18" s="45">
        <v>1</v>
      </c>
      <c r="K18" s="32" t="s">
        <v>247</v>
      </c>
    </row>
    <row r="19" spans="1:11">
      <c r="A19" s="43" t="s">
        <v>185</v>
      </c>
      <c r="B19" s="32" t="s">
        <v>145</v>
      </c>
      <c r="C19" s="34">
        <v>0</v>
      </c>
      <c r="D19" s="34">
        <v>20</v>
      </c>
      <c r="E19" s="34">
        <v>1</v>
      </c>
      <c r="F19" s="44">
        <f t="shared" si="0"/>
        <v>89</v>
      </c>
      <c r="G19" s="32" t="s">
        <v>230</v>
      </c>
      <c r="H19" s="34" t="s">
        <v>129</v>
      </c>
      <c r="I19" s="34" t="s">
        <v>129</v>
      </c>
      <c r="J19" s="45">
        <v>0.8</v>
      </c>
      <c r="K19" s="32" t="s">
        <v>248</v>
      </c>
    </row>
    <row r="20" spans="1:11">
      <c r="A20" s="43" t="s">
        <v>187</v>
      </c>
      <c r="B20" s="32" t="s">
        <v>130</v>
      </c>
      <c r="C20" s="34">
        <v>0</v>
      </c>
      <c r="D20" s="34">
        <v>0</v>
      </c>
      <c r="E20" s="34">
        <v>100</v>
      </c>
      <c r="F20" s="44">
        <f t="shared" si="0"/>
        <v>900</v>
      </c>
      <c r="G20" s="32" t="s">
        <v>230</v>
      </c>
      <c r="H20" s="34" t="s">
        <v>235</v>
      </c>
      <c r="I20" s="34" t="s">
        <v>127</v>
      </c>
      <c r="J20" s="45">
        <v>1</v>
      </c>
      <c r="K20" s="32" t="s">
        <v>249</v>
      </c>
    </row>
    <row r="21" spans="1:11">
      <c r="A21" s="43" t="s">
        <v>187</v>
      </c>
      <c r="B21" s="32" t="s">
        <v>148</v>
      </c>
      <c r="C21" s="34">
        <v>8.5</v>
      </c>
      <c r="D21" s="34">
        <v>2</v>
      </c>
      <c r="E21" s="34">
        <v>14.7</v>
      </c>
      <c r="F21" s="44">
        <f t="shared" si="0"/>
        <v>174</v>
      </c>
      <c r="G21" s="32" t="s">
        <v>230</v>
      </c>
      <c r="H21" s="34" t="s">
        <v>235</v>
      </c>
      <c r="I21" s="34" t="s">
        <v>127</v>
      </c>
      <c r="J21" s="45">
        <v>1</v>
      </c>
      <c r="K21" s="32" t="s">
        <v>250</v>
      </c>
    </row>
    <row r="22" spans="1:11">
      <c r="A22" s="43" t="s">
        <v>187</v>
      </c>
      <c r="B22" s="32" t="s">
        <v>139</v>
      </c>
      <c r="C22" s="34">
        <v>21.7</v>
      </c>
      <c r="D22" s="34">
        <v>21.2</v>
      </c>
      <c r="E22" s="34">
        <v>49.9</v>
      </c>
      <c r="F22" s="44">
        <f t="shared" si="0"/>
        <v>621</v>
      </c>
      <c r="G22" s="32" t="s">
        <v>230</v>
      </c>
      <c r="H22" s="34" t="s">
        <v>235</v>
      </c>
      <c r="I22" s="34" t="s">
        <v>127</v>
      </c>
      <c r="J22" s="45">
        <v>1</v>
      </c>
      <c r="K22" s="32" t="s">
        <v>251</v>
      </c>
    </row>
    <row r="23" spans="1:11">
      <c r="A23" s="43" t="s">
        <v>187</v>
      </c>
      <c r="B23" s="32" t="s">
        <v>142</v>
      </c>
      <c r="C23" s="34">
        <v>20</v>
      </c>
      <c r="D23" s="34">
        <v>25</v>
      </c>
      <c r="E23" s="34">
        <v>50</v>
      </c>
      <c r="F23" s="44">
        <f t="shared" si="0"/>
        <v>630</v>
      </c>
      <c r="G23" s="32" t="s">
        <v>230</v>
      </c>
      <c r="H23" s="34" t="s">
        <v>235</v>
      </c>
      <c r="I23" s="34" t="s">
        <v>127</v>
      </c>
      <c r="J23" s="45">
        <v>1</v>
      </c>
      <c r="K23" s="32" t="s">
        <v>252</v>
      </c>
    </row>
    <row r="24" ht="27" spans="1:11">
      <c r="A24" s="43" t="s">
        <v>188</v>
      </c>
      <c r="B24" s="32" t="s">
        <v>144</v>
      </c>
      <c r="C24" s="34">
        <v>7</v>
      </c>
      <c r="D24" s="34">
        <v>2.8</v>
      </c>
      <c r="E24" s="34">
        <v>0.4</v>
      </c>
      <c r="F24" s="44">
        <f t="shared" si="0"/>
        <v>43</v>
      </c>
      <c r="G24" s="32" t="s">
        <v>230</v>
      </c>
      <c r="H24" s="34" t="s">
        <v>235</v>
      </c>
      <c r="I24" s="34" t="s">
        <v>129</v>
      </c>
      <c r="J24" s="45">
        <v>1</v>
      </c>
      <c r="K24" s="32" t="s">
        <v>253</v>
      </c>
    </row>
    <row r="25" spans="1:11">
      <c r="A25" s="43" t="s">
        <v>188</v>
      </c>
      <c r="B25" s="32" t="s">
        <v>254</v>
      </c>
      <c r="C25" s="34">
        <v>2.9</v>
      </c>
      <c r="D25" s="34">
        <v>1.4</v>
      </c>
      <c r="E25" s="34">
        <v>0.2</v>
      </c>
      <c r="F25" s="44">
        <f t="shared" si="0"/>
        <v>19</v>
      </c>
      <c r="G25" s="32" t="s">
        <v>230</v>
      </c>
      <c r="H25" s="34" t="s">
        <v>235</v>
      </c>
      <c r="I25" s="34" t="s">
        <v>129</v>
      </c>
      <c r="J25" s="45">
        <v>1</v>
      </c>
      <c r="K25" s="32" t="s">
        <v>250</v>
      </c>
    </row>
    <row r="26" spans="1:11">
      <c r="A26" s="43" t="s">
        <v>188</v>
      </c>
      <c r="B26" s="32" t="s">
        <v>255</v>
      </c>
      <c r="C26" s="34">
        <v>3.6</v>
      </c>
      <c r="D26" s="34">
        <v>2.9</v>
      </c>
      <c r="E26" s="34">
        <v>0.4</v>
      </c>
      <c r="F26" s="44">
        <f t="shared" si="0"/>
        <v>30</v>
      </c>
      <c r="G26" s="32" t="s">
        <v>230</v>
      </c>
      <c r="H26" s="34" t="s">
        <v>235</v>
      </c>
      <c r="I26" s="34" t="s">
        <v>129</v>
      </c>
      <c r="J26" s="45">
        <v>1</v>
      </c>
      <c r="K26" s="32" t="s">
        <v>250</v>
      </c>
    </row>
    <row r="27" spans="1:11">
      <c r="A27" s="43" t="s">
        <v>188</v>
      </c>
      <c r="B27" s="32" t="s">
        <v>256</v>
      </c>
      <c r="C27" s="34">
        <v>3.9</v>
      </c>
      <c r="D27" s="34">
        <v>0.9</v>
      </c>
      <c r="E27" s="34">
        <v>0.2</v>
      </c>
      <c r="F27" s="44">
        <f t="shared" si="0"/>
        <v>21</v>
      </c>
      <c r="G27" s="32" t="s">
        <v>230</v>
      </c>
      <c r="H27" s="34" t="s">
        <v>235</v>
      </c>
      <c r="I27" s="34" t="s">
        <v>129</v>
      </c>
      <c r="J27" s="45">
        <v>1</v>
      </c>
      <c r="K27" s="32" t="s">
        <v>250</v>
      </c>
    </row>
    <row r="28" spans="1:11">
      <c r="A28" s="43" t="s">
        <v>188</v>
      </c>
      <c r="B28" s="32" t="s">
        <v>257</v>
      </c>
      <c r="C28" s="34">
        <v>3.6</v>
      </c>
      <c r="D28" s="34">
        <v>0.7</v>
      </c>
      <c r="E28" s="34">
        <v>0.1</v>
      </c>
      <c r="F28" s="44">
        <f t="shared" si="0"/>
        <v>18</v>
      </c>
      <c r="G28" s="32" t="s">
        <v>230</v>
      </c>
      <c r="H28" s="34" t="s">
        <v>235</v>
      </c>
      <c r="I28" s="34" t="s">
        <v>129</v>
      </c>
      <c r="J28" s="45">
        <v>1</v>
      </c>
      <c r="K28" s="32" t="s">
        <v>250</v>
      </c>
    </row>
    <row r="29" spans="1:11">
      <c r="A29" s="32" t="s">
        <v>184</v>
      </c>
      <c r="B29" s="32" t="s">
        <v>149</v>
      </c>
      <c r="C29" s="34">
        <v>27</v>
      </c>
      <c r="D29" s="34">
        <v>5.1</v>
      </c>
      <c r="E29" s="34">
        <v>0.1</v>
      </c>
      <c r="F29" s="44">
        <f t="shared" si="0"/>
        <v>129</v>
      </c>
      <c r="G29" s="32" t="s">
        <v>230</v>
      </c>
      <c r="H29" s="34" t="s">
        <v>127</v>
      </c>
      <c r="I29" s="34" t="s">
        <v>127</v>
      </c>
      <c r="J29" s="45">
        <v>2.4</v>
      </c>
      <c r="K29" s="32" t="s">
        <v>258</v>
      </c>
    </row>
    <row r="30" spans="1:11">
      <c r="A30" s="32" t="s">
        <v>187</v>
      </c>
      <c r="B30" s="32" t="s">
        <v>135</v>
      </c>
      <c r="C30" s="34">
        <v>30.2</v>
      </c>
      <c r="D30" s="34">
        <v>18.2</v>
      </c>
      <c r="E30" s="34">
        <v>43.8</v>
      </c>
      <c r="F30" s="44">
        <f t="shared" si="0"/>
        <v>588</v>
      </c>
      <c r="G30" s="32" t="s">
        <v>230</v>
      </c>
      <c r="H30" s="34" t="s">
        <v>235</v>
      </c>
      <c r="I30" s="34" t="s">
        <v>127</v>
      </c>
      <c r="J30" s="45">
        <v>1</v>
      </c>
      <c r="K30" s="32" t="s">
        <v>259</v>
      </c>
    </row>
    <row r="31" spans="1:11">
      <c r="A31" s="32" t="s">
        <v>188</v>
      </c>
      <c r="B31" s="32" t="s">
        <v>131</v>
      </c>
      <c r="C31" s="34">
        <v>9.6</v>
      </c>
      <c r="D31" s="34">
        <v>0.9</v>
      </c>
      <c r="E31" s="34">
        <v>0.2</v>
      </c>
      <c r="F31" s="44">
        <f t="shared" si="0"/>
        <v>44</v>
      </c>
      <c r="G31" s="32" t="s">
        <v>230</v>
      </c>
      <c r="H31" s="34" t="s">
        <v>235</v>
      </c>
      <c r="I31" s="34" t="s">
        <v>129</v>
      </c>
      <c r="J31" s="45">
        <v>1</v>
      </c>
      <c r="K31" s="32" t="s">
        <v>250</v>
      </c>
    </row>
    <row r="32" spans="1:11">
      <c r="A32" s="3" t="s">
        <v>185</v>
      </c>
      <c r="B32" s="3" t="s">
        <v>186</v>
      </c>
      <c r="C32" s="46">
        <v>4.5</v>
      </c>
      <c r="D32" s="46">
        <v>3.5</v>
      </c>
      <c r="E32" s="46">
        <v>3.5</v>
      </c>
      <c r="F32" s="47">
        <f t="shared" si="0"/>
        <v>64</v>
      </c>
      <c r="G32" s="3" t="s">
        <v>230</v>
      </c>
      <c r="H32" s="46" t="s">
        <v>235</v>
      </c>
      <c r="I32" s="46" t="s">
        <v>127</v>
      </c>
      <c r="J32" s="48">
        <v>1</v>
      </c>
      <c r="K32" s="3"/>
    </row>
    <row r="33" spans="1:11">
      <c r="A33" s="3"/>
      <c r="B33" s="3"/>
      <c r="C33" s="46"/>
      <c r="D33" s="46"/>
      <c r="E33" s="46"/>
      <c r="F33" s="47" t="str">
        <f t="shared" si="0"/>
        <v/>
      </c>
      <c r="G33" s="3"/>
      <c r="H33" s="46"/>
      <c r="I33" s="46"/>
      <c r="J33" s="48"/>
      <c r="K33" s="3"/>
    </row>
    <row r="34" spans="1:11">
      <c r="A34" s="3"/>
      <c r="B34" s="3"/>
      <c r="C34" s="46"/>
      <c r="D34" s="46"/>
      <c r="E34" s="46"/>
      <c r="F34" s="47" t="str">
        <f t="shared" si="0"/>
        <v/>
      </c>
      <c r="G34" s="3"/>
      <c r="H34" s="46"/>
      <c r="I34" s="46"/>
      <c r="J34" s="48"/>
      <c r="K34" s="3"/>
    </row>
    <row r="35" spans="1:11">
      <c r="A35" s="3"/>
      <c r="B35" s="3"/>
      <c r="C35" s="46"/>
      <c r="D35" s="46"/>
      <c r="E35" s="46"/>
      <c r="F35" s="47" t="str">
        <f t="shared" si="0"/>
        <v/>
      </c>
      <c r="G35" s="3"/>
      <c r="H35" s="46"/>
      <c r="I35" s="46"/>
      <c r="J35" s="48"/>
      <c r="K35" s="3"/>
    </row>
    <row r="36" spans="1:11">
      <c r="A36" s="3"/>
      <c r="B36" s="3"/>
      <c r="C36" s="46"/>
      <c r="D36" s="46"/>
      <c r="E36" s="46"/>
      <c r="F36" s="47" t="str">
        <f t="shared" si="0"/>
        <v/>
      </c>
      <c r="G36" s="3"/>
      <c r="H36" s="46"/>
      <c r="I36" s="46"/>
      <c r="J36" s="48"/>
      <c r="K36" s="3"/>
    </row>
    <row r="37" spans="1:11">
      <c r="A37" s="3"/>
      <c r="B37" s="3"/>
      <c r="C37" s="46"/>
      <c r="D37" s="46"/>
      <c r="E37" s="46"/>
      <c r="F37" s="47" t="str">
        <f t="shared" si="0"/>
        <v/>
      </c>
      <c r="G37" s="3"/>
      <c r="H37" s="46"/>
      <c r="I37" s="46"/>
      <c r="J37" s="48"/>
      <c r="K37" s="3"/>
    </row>
    <row r="38" ht="15.75" spans="1:11">
      <c r="A38" s="49" t="s">
        <v>260</v>
      </c>
      <c r="B38" s="50"/>
      <c r="C38" s="50"/>
      <c r="D38" s="50"/>
      <c r="E38" s="50"/>
      <c r="F38" s="50"/>
      <c r="G38" s="50"/>
      <c r="H38" s="50"/>
      <c r="I38" s="50"/>
      <c r="J38" s="50"/>
      <c r="K38" s="51"/>
    </row>
    <row r="39" ht="32" customHeight="1" spans="1:11">
      <c r="A39" s="52" t="s">
        <v>261</v>
      </c>
      <c r="B39" s="53"/>
      <c r="C39" s="53"/>
      <c r="D39" s="53"/>
      <c r="E39" s="53"/>
      <c r="F39" s="53"/>
      <c r="G39" s="53"/>
      <c r="H39" s="53"/>
      <c r="I39" s="53"/>
      <c r="J39" s="53"/>
      <c r="K39" s="54"/>
    </row>
    <row r="40" ht="32" customHeight="1" spans="1:11">
      <c r="A40" s="52" t="s">
        <v>262</v>
      </c>
      <c r="B40" s="53"/>
      <c r="C40" s="53"/>
      <c r="D40" s="53"/>
      <c r="E40" s="53"/>
      <c r="F40" s="53"/>
      <c r="G40" s="53"/>
      <c r="H40" s="53"/>
      <c r="I40" s="53"/>
      <c r="J40" s="53"/>
      <c r="K40" s="54"/>
    </row>
    <row r="41" ht="32" customHeight="1" spans="1:11">
      <c r="A41" s="52" t="s">
        <v>263</v>
      </c>
      <c r="B41" s="53"/>
      <c r="C41" s="53"/>
      <c r="D41" s="53"/>
      <c r="E41" s="53"/>
      <c r="F41" s="53"/>
      <c r="G41" s="53"/>
      <c r="H41" s="53"/>
      <c r="I41" s="53"/>
      <c r="J41" s="53"/>
      <c r="K41" s="54"/>
    </row>
  </sheetData>
  <mergeCells count="6">
    <mergeCell ref="A1:K1"/>
    <mergeCell ref="A3:K3"/>
    <mergeCell ref="A38:K38"/>
    <mergeCell ref="A39:K39"/>
    <mergeCell ref="A40:K40"/>
    <mergeCell ref="A41:K41"/>
  </mergeCells>
  <dataValidations count="2">
    <dataValidation type="list" allowBlank="1" showInputMessage="1" showErrorMessage="1" sqref="H6:H37">
      <formula1>"生重,熟重,无需换算"</formula1>
    </dataValidation>
    <dataValidation type="list" allowBlank="1" showInputMessage="1" showErrorMessage="1" sqref="I6:I37">
      <formula1>"生重,熟重"</formula1>
    </dataValidation>
  </dataValidations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69E00"/>
  </sheetPr>
  <dimension ref="A1:Z33"/>
  <sheetViews>
    <sheetView showGridLines="0" workbookViewId="0">
      <selection activeCell="A1" sqref="A1:Z1"/>
    </sheetView>
  </sheetViews>
  <sheetFormatPr defaultColWidth="9" defaultRowHeight="13.5"/>
  <cols>
    <col min="1" max="1" width="10" customWidth="1"/>
    <col min="2" max="2" width="9" customWidth="1"/>
    <col min="3" max="3" width="17" customWidth="1"/>
    <col min="4" max="7" width="11" customWidth="1"/>
    <col min="8" max="8" width="18" customWidth="1"/>
    <col min="9" max="12" width="11" customWidth="1"/>
    <col min="13" max="13" width="16" customWidth="1"/>
    <col min="14" max="17" width="11" customWidth="1"/>
    <col min="18" max="18" width="15" customWidth="1"/>
    <col min="19" max="22" width="11" customWidth="1"/>
    <col min="23" max="25" width="12" customWidth="1"/>
    <col min="26" max="26" width="14" customWidth="1"/>
  </cols>
  <sheetData>
    <row r="1" ht="30" customHeight="1" spans="1:26">
      <c r="A1" s="22" t="s">
        <v>264</v>
      </c>
    </row>
    <row r="3" ht="22" customHeight="1" spans="1:26">
      <c r="A3" s="23" t="s">
        <v>265</v>
      </c>
    </row>
    <row r="4" spans="1:26">
      <c r="A4" s="24" t="s">
        <v>96</v>
      </c>
      <c r="B4" s="25">
        <v>1</v>
      </c>
      <c r="C4" s="26"/>
      <c r="D4" s="24" t="s">
        <v>43</v>
      </c>
      <c r="E4" s="27" t="str">
        <f>IFERROR(VLOOKUP(B4,V6周期计划!$A$20:$J$50,3,FALSE),"")</f>
        <v>中碳日</v>
      </c>
      <c r="F4" s="26"/>
      <c r="G4" s="24" t="s">
        <v>97</v>
      </c>
      <c r="H4" s="27">
        <f>IF(B4&gt;CycleLength,"",IFERROR(VLOOKUP(B4,V6周期计划!$A$20:$J$50,7,FALSE),""))</f>
        <v>150.845070422535</v>
      </c>
      <c r="I4" s="26"/>
      <c r="J4" s="24" t="s">
        <v>98</v>
      </c>
      <c r="K4" s="27">
        <f>IF(B4&gt;CycleLength,"",IFERROR(VLOOKUP(B4,V6周期计划!$A$20:$J$50,8,FALSE),""))</f>
        <v>119</v>
      </c>
      <c r="L4" s="26"/>
      <c r="M4" s="24" t="s">
        <v>99</v>
      </c>
      <c r="N4" s="27">
        <f>IF(B4&gt;CycleLength,"",IFERROR(VLOOKUP(B4,V6周期计划!$A$20:$J$50,9,FALSE),""))</f>
        <v>76.5133020344288</v>
      </c>
      <c r="O4" s="26"/>
      <c r="P4" s="24" t="s">
        <v>100</v>
      </c>
      <c r="Q4" s="27">
        <f>IF(B4&gt;CycleLength,"",IFERROR(VLOOKUP(B4,V6周期计划!$A$20:$J$50,10,FALSE),""))</f>
        <v>1768</v>
      </c>
    </row>
    <row r="6" ht="22" customHeight="1" spans="1:26">
      <c r="A6" s="23" t="s">
        <v>266</v>
      </c>
    </row>
    <row r="7" spans="1:26">
      <c r="A7" s="28" t="s">
        <v>69</v>
      </c>
      <c r="B7" s="28" t="s">
        <v>70</v>
      </c>
      <c r="C7" s="28" t="s">
        <v>71</v>
      </c>
      <c r="D7" s="28" t="s">
        <v>72</v>
      </c>
    </row>
    <row r="8" spans="1:26">
      <c r="A8" s="26" t="s">
        <v>74</v>
      </c>
      <c r="B8" s="29">
        <v>0.3</v>
      </c>
      <c r="C8" s="29">
        <v>0.3</v>
      </c>
      <c r="D8" s="29">
        <v>0.3</v>
      </c>
    </row>
    <row r="9" spans="1:26">
      <c r="A9" s="26" t="s">
        <v>76</v>
      </c>
      <c r="B9" s="29">
        <v>0.4</v>
      </c>
      <c r="C9" s="29">
        <v>0.4</v>
      </c>
      <c r="D9" s="29">
        <v>0.4</v>
      </c>
    </row>
    <row r="10" spans="1:26">
      <c r="A10" s="26" t="s">
        <v>267</v>
      </c>
      <c r="B10" s="29">
        <v>0.3</v>
      </c>
      <c r="C10" s="29">
        <v>0.3</v>
      </c>
      <c r="D10" s="29">
        <v>0.3</v>
      </c>
    </row>
    <row r="11" spans="1:26">
      <c r="A11" s="30" t="s">
        <v>82</v>
      </c>
      <c r="B11" s="31">
        <f>SUM(B8:B10)</f>
        <v>1</v>
      </c>
      <c r="C11" s="31">
        <f>SUM(C8:C10)</f>
        <v>1</v>
      </c>
      <c r="D11" s="31">
        <f>SUM(D8:D10)</f>
        <v>1</v>
      </c>
    </row>
    <row r="13" ht="22" customHeight="1" spans="1:26">
      <c r="A13" s="23" t="s">
        <v>268</v>
      </c>
    </row>
    <row r="14" spans="1:26">
      <c r="A14" s="28" t="s">
        <v>69</v>
      </c>
      <c r="B14" s="28" t="s">
        <v>269</v>
      </c>
      <c r="C14" s="28" t="s">
        <v>110</v>
      </c>
      <c r="D14" s="28" t="s">
        <v>112</v>
      </c>
      <c r="E14" s="28" t="s">
        <v>270</v>
      </c>
      <c r="F14" s="28" t="s">
        <v>271</v>
      </c>
      <c r="G14" s="28" t="s">
        <v>272</v>
      </c>
      <c r="H14" s="28" t="s">
        <v>113</v>
      </c>
      <c r="I14" s="28" t="s">
        <v>115</v>
      </c>
      <c r="J14" s="28" t="s">
        <v>273</v>
      </c>
      <c r="K14" s="28" t="s">
        <v>274</v>
      </c>
      <c r="L14" s="28" t="s">
        <v>275</v>
      </c>
      <c r="M14" s="28" t="s">
        <v>116</v>
      </c>
      <c r="N14" s="28" t="s">
        <v>117</v>
      </c>
      <c r="O14" s="28" t="s">
        <v>276</v>
      </c>
      <c r="P14" s="28" t="s">
        <v>277</v>
      </c>
      <c r="Q14" s="28" t="s">
        <v>278</v>
      </c>
      <c r="R14" s="28" t="s">
        <v>118</v>
      </c>
      <c r="S14" s="28" t="s">
        <v>119</v>
      </c>
      <c r="T14" s="28" t="s">
        <v>279</v>
      </c>
      <c r="U14" s="28" t="s">
        <v>280</v>
      </c>
      <c r="V14" s="28" t="s">
        <v>281</v>
      </c>
      <c r="W14" s="28" t="s">
        <v>120</v>
      </c>
      <c r="X14" s="28" t="s">
        <v>121</v>
      </c>
      <c r="Y14" s="28" t="s">
        <v>122</v>
      </c>
      <c r="Z14" s="28" t="s">
        <v>123</v>
      </c>
    </row>
    <row r="15" spans="1:26">
      <c r="A15" s="32" t="s">
        <v>74</v>
      </c>
      <c r="B15" s="33">
        <f>B8</f>
        <v>0.3</v>
      </c>
      <c r="C15" s="34" t="s">
        <v>133</v>
      </c>
      <c r="D15" s="35">
        <f>IFERROR($H$4*$B15/VLOOKUP(C15,食物数据库V3!$B$6:$F$36,2,FALSE)*100,0)</f>
        <v>68.2556879739978</v>
      </c>
      <c r="E15" s="35">
        <f>IFERROR(D15*VLOOKUP(C15,食物数据库V3!$B$6:$F$36,2,FALSE)/100,0)</f>
        <v>45.2535211267606</v>
      </c>
      <c r="F15" s="35">
        <f>IFERROR(D15*VLOOKUP(C15,食物数据库V3!$B$6:$F$36,3,FALSE)/100,0)</f>
        <v>11.5352112676056</v>
      </c>
      <c r="G15" s="35">
        <f>IFERROR(D15*VLOOKUP(C15,食物数据库V3!$B$6:$F$36,4,FALSE)/100,0)</f>
        <v>4.70964247020585</v>
      </c>
      <c r="H15" s="36" t="s">
        <v>128</v>
      </c>
      <c r="I15" s="35">
        <f>IFERROR($K$4*$B15/VLOOKUP(H15,食物数据库V3!$B$6:$F$36,3,FALSE)*100,0)</f>
        <v>283.333333333333</v>
      </c>
      <c r="J15" s="35">
        <f>IFERROR(I15*VLOOKUP(H15,食物数据库V3!$B$6:$F$36,2,FALSE)/100,0)</f>
        <v>3.11666666666667</v>
      </c>
      <c r="K15" s="35">
        <f>IFERROR(I15*VLOOKUP(H15,食物数据库V3!$B$6:$F$36,3,FALSE)/100,0)</f>
        <v>35.7</v>
      </c>
      <c r="L15" s="35">
        <f>IFERROR(I15*VLOOKUP(H15,食物数据库V3!$B$6:$F$36,4,FALSE)/100,0)</f>
        <v>28.3333333333333</v>
      </c>
      <c r="M15" s="36" t="s">
        <v>139</v>
      </c>
      <c r="N15" s="35">
        <f>IFERROR($N$4*$B15/VLOOKUP(M15,食物数据库V3!$B$6:$F$36,4,FALSE)*100,0)</f>
        <v>45.9999811830233</v>
      </c>
      <c r="O15" s="35">
        <f>IFERROR(N15*VLOOKUP(M15,食物数据库V3!$B$6:$F$36,2,FALSE)/100,0)</f>
        <v>9.98199591671606</v>
      </c>
      <c r="P15" s="35">
        <f>IFERROR(N15*VLOOKUP(M15,食物数据库V3!$B$6:$F$36,3,FALSE)/100,0)</f>
        <v>9.75199601080095</v>
      </c>
      <c r="Q15" s="35">
        <f>IFERROR(N15*VLOOKUP(M15,食物数据库V3!$B$6:$F$36,4,FALSE)/100,0)</f>
        <v>22.9539906103286</v>
      </c>
      <c r="R15" s="36" t="s">
        <v>256</v>
      </c>
      <c r="S15" s="36">
        <v>150</v>
      </c>
      <c r="T15" s="35">
        <f>IFERROR(S15*VLOOKUP(R15,食物数据库V3!$B$6:$F$36,2,FALSE)/100,0)</f>
        <v>5.85</v>
      </c>
      <c r="U15" s="35">
        <f>IFERROR(S15*VLOOKUP(R15,食物数据库V3!$B$6:$F$36,3,FALSE)/100,0)</f>
        <v>1.35</v>
      </c>
      <c r="V15" s="35">
        <f>IFERROR(S15*VLOOKUP(R15,食物数据库V3!$B$6:$F$36,4,FALSE)/100,0)</f>
        <v>0.3</v>
      </c>
      <c r="W15" s="35">
        <f>SUM(E15,J15,O15,T15)</f>
        <v>64.2021837101433</v>
      </c>
      <c r="X15" s="35">
        <f>SUM(F15,K15,P15,U15)</f>
        <v>58.3372072784066</v>
      </c>
      <c r="Y15" s="35">
        <f>SUM(G15,L15,Q15,V15)</f>
        <v>56.2969664138678</v>
      </c>
      <c r="Z15" s="35">
        <f>W15*4+X15*4+Y15*9</f>
        <v>996.83026167901</v>
      </c>
    </row>
    <row r="16" spans="1:26">
      <c r="A16" s="32" t="s">
        <v>76</v>
      </c>
      <c r="B16" s="33">
        <f>B9</f>
        <v>0.4</v>
      </c>
      <c r="C16" s="34" t="s">
        <v>141</v>
      </c>
      <c r="D16" s="35">
        <f>IFERROR($H$4*$B16/VLOOKUP(C16,食物数据库V3!$B$6:$F$36,2,FALSE)*100,0)</f>
        <v>201.12676056338</v>
      </c>
      <c r="E16" s="35">
        <f>IFERROR(D16*VLOOKUP(C16,食物数据库V3!$B$6:$F$36,2,FALSE)/100,0)</f>
        <v>60.3380281690141</v>
      </c>
      <c r="F16" s="35">
        <f>IFERROR(D16*VLOOKUP(C16,食物数据库V3!$B$6:$F$36,3,FALSE)/100,0)</f>
        <v>5.22929577464789</v>
      </c>
      <c r="G16" s="35">
        <f>IFERROR(D16*VLOOKUP(C16,食物数据库V3!$B$6:$F$36,4,FALSE)/100,0)</f>
        <v>0.603380281690141</v>
      </c>
      <c r="H16" s="36" t="s">
        <v>143</v>
      </c>
      <c r="I16" s="35">
        <f>IFERROR($K$4*$B16/VLOOKUP(H16,食物数据库V3!$B$6:$F$36,3,FALSE)*100,0)</f>
        <v>216.363636363636</v>
      </c>
      <c r="J16" s="35">
        <f>IFERROR(I16*VLOOKUP(H16,食物数据库V3!$B$6:$F$36,2,FALSE)/100,0)</f>
        <v>0</v>
      </c>
      <c r="K16" s="35">
        <f>IFERROR(I16*VLOOKUP(H16,食物数据库V3!$B$6:$F$36,3,FALSE)/100,0)</f>
        <v>47.6</v>
      </c>
      <c r="L16" s="35">
        <f>IFERROR(I16*VLOOKUP(H16,食物数据库V3!$B$6:$F$36,4,FALSE)/100,0)</f>
        <v>3.24545454545454</v>
      </c>
      <c r="M16" s="36" t="s">
        <v>130</v>
      </c>
      <c r="N16" s="35">
        <f>IFERROR($N$4*$B16/VLOOKUP(M16,食物数据库V3!$B$6:$F$36,4,FALSE)*100,0)</f>
        <v>30.6053208137715</v>
      </c>
      <c r="O16" s="35">
        <f>IFERROR(N16*VLOOKUP(M16,食物数据库V3!$B$6:$F$36,2,FALSE)/100,0)</f>
        <v>0</v>
      </c>
      <c r="P16" s="35">
        <f>IFERROR(N16*VLOOKUP(M16,食物数据库V3!$B$6:$F$36,3,FALSE)/100,0)</f>
        <v>0</v>
      </c>
      <c r="Q16" s="35">
        <f>IFERROR(N16*VLOOKUP(M16,食物数据库V3!$B$6:$F$36,4,FALSE)/100,0)</f>
        <v>30.6053208137715</v>
      </c>
      <c r="R16" s="36" t="s">
        <v>144</v>
      </c>
      <c r="S16" s="36">
        <v>150</v>
      </c>
      <c r="T16" s="35">
        <f>IFERROR(S16*VLOOKUP(R16,食物数据库V3!$B$6:$F$36,2,FALSE)/100,0)</f>
        <v>10.5</v>
      </c>
      <c r="U16" s="35">
        <f>IFERROR(S16*VLOOKUP(R16,食物数据库V3!$B$6:$F$36,3,FALSE)/100,0)</f>
        <v>4.2</v>
      </c>
      <c r="V16" s="35">
        <f>IFERROR(S16*VLOOKUP(R16,食物数据库V3!$B$6:$F$36,4,FALSE)/100,0)</f>
        <v>0.6</v>
      </c>
      <c r="W16" s="35">
        <f>SUM(E16,J16,O16,T16)</f>
        <v>70.8380281690141</v>
      </c>
      <c r="X16" s="35">
        <f>SUM(F16,K16,P16,U16)</f>
        <v>57.0292957746479</v>
      </c>
      <c r="Y16" s="35">
        <f>SUM(G16,L16,Q16,V16)</f>
        <v>35.0541556409162</v>
      </c>
      <c r="Z16" s="35">
        <f>W16*4+X16*4+Y16*9</f>
        <v>826.956696542894</v>
      </c>
    </row>
    <row r="17" spans="1:26">
      <c r="A17" s="32" t="s">
        <v>267</v>
      </c>
      <c r="B17" s="33">
        <f>B10</f>
        <v>0.3</v>
      </c>
      <c r="C17" s="34" t="s">
        <v>146</v>
      </c>
      <c r="D17" s="35">
        <f>IFERROR($H$4*$B17/VLOOKUP(C17,食物数据库V3!$B$6:$F$36,2,FALSE)*100,0)</f>
        <v>225.141896153038</v>
      </c>
      <c r="E17" s="35">
        <f>IFERROR(D17*VLOOKUP(C17,食物数据库V3!$B$6:$F$36,2,FALSE)/100,0)</f>
        <v>45.2535211267606</v>
      </c>
      <c r="F17" s="35">
        <f>IFERROR(D17*VLOOKUP(C17,食物数据库V3!$B$6:$F$36,3,FALSE)/100,0)</f>
        <v>3.6022703384486</v>
      </c>
      <c r="G17" s="35">
        <f>IFERROR(D17*VLOOKUP(C17,食物数据库V3!$B$6:$F$36,4,FALSE)/100,0)</f>
        <v>0.225141896153038</v>
      </c>
      <c r="H17" s="36" t="s">
        <v>143</v>
      </c>
      <c r="I17" s="35">
        <f>IFERROR($K$4*$B17/VLOOKUP(H17,食物数据库V3!$B$6:$F$36,3,FALSE)*100,0)</f>
        <v>162.272727272727</v>
      </c>
      <c r="J17" s="35">
        <f>IFERROR(I17*VLOOKUP(H17,食物数据库V3!$B$6:$F$36,2,FALSE)/100,0)</f>
        <v>0</v>
      </c>
      <c r="K17" s="35">
        <f>IFERROR(I17*VLOOKUP(H17,食物数据库V3!$B$6:$F$36,3,FALSE)/100,0)</f>
        <v>35.7</v>
      </c>
      <c r="L17" s="35">
        <f>IFERROR(I17*VLOOKUP(H17,食物数据库V3!$B$6:$F$36,4,FALSE)/100,0)</f>
        <v>2.43409090909091</v>
      </c>
      <c r="M17" s="36" t="s">
        <v>130</v>
      </c>
      <c r="N17" s="35">
        <f>IFERROR($N$4*$B17/VLOOKUP(M17,食物数据库V3!$B$6:$F$36,4,FALSE)*100,0)</f>
        <v>22.9539906103286</v>
      </c>
      <c r="O17" s="35">
        <f>IFERROR(N17*VLOOKUP(M17,食物数据库V3!$B$6:$F$36,2,FALSE)/100,0)</f>
        <v>0</v>
      </c>
      <c r="P17" s="35">
        <f>IFERROR(N17*VLOOKUP(M17,食物数据库V3!$B$6:$F$36,3,FALSE)/100,0)</f>
        <v>0</v>
      </c>
      <c r="Q17" s="35">
        <f>IFERROR(N17*VLOOKUP(M17,食物数据库V3!$B$6:$F$36,4,FALSE)/100,0)</f>
        <v>22.9539906103286</v>
      </c>
      <c r="R17" s="36" t="s">
        <v>254</v>
      </c>
      <c r="S17" s="36">
        <v>150</v>
      </c>
      <c r="T17" s="35">
        <f>IFERROR(S17*VLOOKUP(R17,食物数据库V3!$B$6:$F$36,2,FALSE)/100,0)</f>
        <v>4.35</v>
      </c>
      <c r="U17" s="35">
        <f>IFERROR(S17*VLOOKUP(R17,食物数据库V3!$B$6:$F$36,3,FALSE)/100,0)</f>
        <v>2.1</v>
      </c>
      <c r="V17" s="35">
        <f>IFERROR(S17*VLOOKUP(R17,食物数据库V3!$B$6:$F$36,4,FALSE)/100,0)</f>
        <v>0.3</v>
      </c>
      <c r="W17" s="35">
        <f>SUM(E17,J17,O17,T17)</f>
        <v>49.6035211267606</v>
      </c>
      <c r="X17" s="35">
        <f>SUM(F17,K17,P17,U17)</f>
        <v>41.4022703384486</v>
      </c>
      <c r="Y17" s="35">
        <f>SUM(G17,L17,Q17,V17)</f>
        <v>25.9132234155726</v>
      </c>
      <c r="Z17" s="35">
        <f>W17*4+X17*4+Y17*9</f>
        <v>597.24217660099</v>
      </c>
    </row>
    <row r="18" spans="1:26">
      <c r="A18" s="30" t="s">
        <v>282</v>
      </c>
      <c r="B18" s="30"/>
      <c r="C18" s="30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>
        <f>SUM(W15:W17)</f>
        <v>184.643733005918</v>
      </c>
      <c r="X18" s="37">
        <f>SUM(X15:X17)</f>
        <v>156.768773391503</v>
      </c>
      <c r="Y18" s="37">
        <f>SUM(Y15:Y17)</f>
        <v>117.264345470357</v>
      </c>
      <c r="Z18" s="37">
        <f>SUM(Z15:Z17)</f>
        <v>2421.02913482289</v>
      </c>
    </row>
    <row r="20" spans="1:26">
      <c r="A20" s="38" t="s">
        <v>283</v>
      </c>
    </row>
    <row r="21" ht="27" spans="1:26">
      <c r="A21" s="28" t="s">
        <v>151</v>
      </c>
      <c r="B21" s="28" t="s">
        <v>152</v>
      </c>
      <c r="C21" s="28" t="s">
        <v>153</v>
      </c>
      <c r="D21" s="28" t="s">
        <v>154</v>
      </c>
    </row>
    <row r="22" spans="1:26">
      <c r="A22" s="26" t="s">
        <v>47</v>
      </c>
      <c r="B22" s="39">
        <f>$H$4</f>
        <v>150.845070422535</v>
      </c>
      <c r="C22" s="39">
        <f>$W$18</f>
        <v>184.643733005918</v>
      </c>
      <c r="D22" s="40">
        <f>C22-B22</f>
        <v>33.7986625833827</v>
      </c>
    </row>
    <row r="23" spans="1:26">
      <c r="A23" s="26" t="s">
        <v>48</v>
      </c>
      <c r="B23" s="39">
        <f>$K$4</f>
        <v>119</v>
      </c>
      <c r="C23" s="39">
        <f>$X$18</f>
        <v>156.768773391503</v>
      </c>
      <c r="D23" s="40">
        <f>C23-B23</f>
        <v>37.7687733915031</v>
      </c>
    </row>
    <row r="24" spans="1:26">
      <c r="A24" s="26" t="s">
        <v>49</v>
      </c>
      <c r="B24" s="39">
        <f>$N$4</f>
        <v>76.5133020344288</v>
      </c>
      <c r="C24" s="39">
        <f>$Y$18</f>
        <v>117.264345470357</v>
      </c>
      <c r="D24" s="40">
        <f>C24-B24</f>
        <v>40.7510434359278</v>
      </c>
    </row>
    <row r="25" spans="1:26">
      <c r="A25" s="26" t="s">
        <v>155</v>
      </c>
      <c r="B25" s="39">
        <f>$Q$4</f>
        <v>1768</v>
      </c>
      <c r="C25" s="39">
        <f>$Z$18</f>
        <v>2421.02913482289</v>
      </c>
      <c r="D25" s="40">
        <f>C25-B25</f>
        <v>653.029134822894</v>
      </c>
    </row>
    <row r="27" ht="22" customHeight="1" spans="1:26">
      <c r="A27" s="23" t="s">
        <v>284</v>
      </c>
    </row>
    <row r="28" ht="27" spans="1:26">
      <c r="A28" s="28" t="s">
        <v>69</v>
      </c>
      <c r="B28" s="28" t="s">
        <v>165</v>
      </c>
      <c r="C28" s="28" t="s">
        <v>285</v>
      </c>
      <c r="D28" s="28" t="s">
        <v>167</v>
      </c>
      <c r="E28" s="28" t="s">
        <v>285</v>
      </c>
      <c r="F28" s="28" t="s">
        <v>168</v>
      </c>
      <c r="G28" s="28" t="s">
        <v>285</v>
      </c>
      <c r="H28" s="28" t="s">
        <v>169</v>
      </c>
      <c r="I28" s="28" t="s">
        <v>285</v>
      </c>
      <c r="J28" s="28" t="s">
        <v>170</v>
      </c>
      <c r="K28" s="28" t="s">
        <v>285</v>
      </c>
      <c r="L28" s="28" t="s">
        <v>171</v>
      </c>
      <c r="M28" s="28" t="s">
        <v>285</v>
      </c>
      <c r="N28" s="28" t="s">
        <v>172</v>
      </c>
      <c r="O28" s="28" t="s">
        <v>285</v>
      </c>
      <c r="P28" s="28" t="s">
        <v>173</v>
      </c>
      <c r="Q28" s="28" t="s">
        <v>285</v>
      </c>
      <c r="R28" s="28" t="s">
        <v>174</v>
      </c>
      <c r="S28" s="28" t="s">
        <v>285</v>
      </c>
    </row>
    <row r="29" ht="27" spans="1:26">
      <c r="A29" s="41" t="s">
        <v>74</v>
      </c>
      <c r="B29" s="34" t="s">
        <v>133</v>
      </c>
      <c r="C29" s="35">
        <f>IFERROR($H$4*$B$8/VLOOKUP(B29,食物数据库V3!$B$6:$F$36,2,FALSE)*100,0)</f>
        <v>68.2556879739978</v>
      </c>
      <c r="D29" s="34" t="s">
        <v>137</v>
      </c>
      <c r="E29" s="35">
        <f>IFERROR($H$4*$B$8/VLOOKUP(D29,食物数据库V3!$B$6:$F$36,2,FALSE)*100,0)</f>
        <v>119.088213491475</v>
      </c>
      <c r="F29" s="34" t="s">
        <v>141</v>
      </c>
      <c r="G29" s="35">
        <f>IFERROR($H$4*$B$8/VLOOKUP(F29,食物数据库V3!$B$6:$F$36,2,FALSE)*100,0)</f>
        <v>150.845070422535</v>
      </c>
      <c r="H29" s="34" t="s">
        <v>128</v>
      </c>
      <c r="I29" s="35">
        <f>IFERROR($K$4*$C$8/VLOOKUP(H29,食物数据库V3!$B$6:$F$36,3,FALSE)*100,0)</f>
        <v>283.333333333333</v>
      </c>
      <c r="J29" s="34" t="s">
        <v>134</v>
      </c>
      <c r="K29" s="35">
        <f>IFERROR($K$4*$C$8/VLOOKUP(J29,食物数据库V3!$B$6:$F$36,3,FALSE)*100,0)</f>
        <v>1050</v>
      </c>
      <c r="L29" s="34" t="s">
        <v>138</v>
      </c>
      <c r="M29" s="35">
        <f>IFERROR($K$4*$C$8/VLOOKUP(L29,食物数据库V3!$B$6:$F$36,3,FALSE)*100,0)</f>
        <v>357</v>
      </c>
      <c r="N29" s="34" t="s">
        <v>139</v>
      </c>
      <c r="O29" s="35">
        <f>IFERROR($N$4*$D$8/VLOOKUP(N29,食物数据库V3!$B$6:$F$36,4,FALSE)*100,0)</f>
        <v>45.9999811830233</v>
      </c>
      <c r="P29" s="34" t="s">
        <v>142</v>
      </c>
      <c r="Q29" s="35">
        <f>IFERROR($N$4*$D$8/VLOOKUP(P29,食物数据库V3!$B$6:$F$36,4,FALSE)*100,0)</f>
        <v>45.9079812206573</v>
      </c>
      <c r="R29" s="34" t="s">
        <v>148</v>
      </c>
      <c r="S29" s="6">
        <f>IFERROR($N$4*$D$8/VLOOKUP(R29,食物数据库V3!$B$6:$F$36,4,FALSE)*100,0)</f>
        <v>156.14959598863</v>
      </c>
    </row>
    <row r="30" ht="27" spans="1:26">
      <c r="A30" s="41" t="s">
        <v>76</v>
      </c>
      <c r="B30" s="34" t="s">
        <v>141</v>
      </c>
      <c r="C30" s="35">
        <f>IFERROR($H$4*$B$9/VLOOKUP(B30,食物数据库V3!$B$6:$F$36,2,FALSE)*100,0)</f>
        <v>201.12676056338</v>
      </c>
      <c r="D30" s="34" t="s">
        <v>126</v>
      </c>
      <c r="E30" s="35">
        <f>IFERROR($H$4*$B$9/VLOOKUP(D30,食物数据库V3!$B$6:$F$36,2,FALSE)*100,0)</f>
        <v>354.929577464789</v>
      </c>
      <c r="F30" s="34" t="s">
        <v>146</v>
      </c>
      <c r="G30" s="35">
        <f>IFERROR($H$4*$B$9/VLOOKUP(F30,食物数据库V3!$B$6:$F$36,2,FALSE)*100,0)</f>
        <v>300.189194870717</v>
      </c>
      <c r="H30" s="34" t="s">
        <v>143</v>
      </c>
      <c r="I30" s="35">
        <f>IFERROR($K$4*$C$9/VLOOKUP(H30,食物数据库V3!$B$6:$F$36,3,FALSE)*100,0)</f>
        <v>216.363636363636</v>
      </c>
      <c r="J30" s="34" t="s">
        <v>145</v>
      </c>
      <c r="K30" s="35">
        <f>IFERROR($K$4*$C$9/VLOOKUP(J30,食物数据库V3!$B$6:$F$36,3,FALSE)*100,0)</f>
        <v>238</v>
      </c>
      <c r="L30" s="34" t="s">
        <v>147</v>
      </c>
      <c r="M30" s="35">
        <f>IFERROR($K$4*$C$9/VLOOKUP(L30,食物数据库V3!$B$6:$F$36,3,FALSE)*100,0)</f>
        <v>183.076923076923</v>
      </c>
      <c r="N30" s="34" t="s">
        <v>130</v>
      </c>
      <c r="O30" s="35">
        <f>IFERROR($N$4*$D$9/VLOOKUP(N30,食物数据库V3!$B$6:$F$36,4,FALSE)*100,0)</f>
        <v>30.6053208137715</v>
      </c>
      <c r="P30" s="34" t="s">
        <v>148</v>
      </c>
      <c r="Q30" s="35">
        <f>IFERROR($N$4*$D$9/VLOOKUP(P30,食物数据库V3!$B$6:$F$36,4,FALSE)*100,0)</f>
        <v>208.199461318174</v>
      </c>
      <c r="R30" s="34" t="s">
        <v>139</v>
      </c>
      <c r="S30" s="6">
        <f>IFERROR($N$4*$D$9/VLOOKUP(R30,食物数据库V3!$B$6:$F$36,4,FALSE)*100,0)</f>
        <v>61.3333082440311</v>
      </c>
    </row>
    <row r="31" ht="27" spans="1:26">
      <c r="A31" s="41" t="s">
        <v>267</v>
      </c>
      <c r="B31" s="34" t="s">
        <v>146</v>
      </c>
      <c r="C31" s="35">
        <f>IFERROR($H$4*$B$10/VLOOKUP(B31,食物数据库V3!$B$6:$F$36,2,FALSE)*100,0)</f>
        <v>225.141896153038</v>
      </c>
      <c r="D31" s="34" t="s">
        <v>126</v>
      </c>
      <c r="E31" s="35">
        <f>IFERROR($H$4*$B$10/VLOOKUP(D31,食物数据库V3!$B$6:$F$36,2,FALSE)*100,0)</f>
        <v>266.197183098592</v>
      </c>
      <c r="F31" s="34" t="s">
        <v>237</v>
      </c>
      <c r="G31" s="35">
        <f>IFERROR($H$4*$B$10/VLOOKUP(F31,食物数据库V3!$B$6:$F$36,2,FALSE)*100,0)</f>
        <v>198.480355819125</v>
      </c>
      <c r="H31" s="34" t="s">
        <v>143</v>
      </c>
      <c r="I31" s="35">
        <f>IFERROR($K$4*$C$10/VLOOKUP(H31,食物数据库V3!$B$6:$F$36,3,FALSE)*100,0)</f>
        <v>162.272727272727</v>
      </c>
      <c r="J31" s="34" t="s">
        <v>145</v>
      </c>
      <c r="K31" s="35">
        <f>IFERROR($K$4*$C$10/VLOOKUP(J31,食物数据库V3!$B$6:$F$36,3,FALSE)*100,0)</f>
        <v>178.5</v>
      </c>
      <c r="L31" s="34" t="s">
        <v>128</v>
      </c>
      <c r="M31" s="35">
        <f>IFERROR($K$4*$C$10/VLOOKUP(L31,食物数据库V3!$B$6:$F$36,3,FALSE)*100,0)</f>
        <v>283.333333333333</v>
      </c>
      <c r="N31" s="34" t="s">
        <v>130</v>
      </c>
      <c r="O31" s="35">
        <f>IFERROR($N$4*$D$10/VLOOKUP(N31,食物数据库V3!$B$6:$F$36,4,FALSE)*100,0)</f>
        <v>22.9539906103286</v>
      </c>
      <c r="P31" s="34" t="s">
        <v>142</v>
      </c>
      <c r="Q31" s="35">
        <f>IFERROR($N$4*$D$10/VLOOKUP(P31,食物数据库V3!$B$6:$F$36,4,FALSE)*100,0)</f>
        <v>45.9079812206573</v>
      </c>
      <c r="R31" s="34" t="s">
        <v>148</v>
      </c>
      <c r="S31" s="6">
        <f>IFERROR($N$4*$D$10/VLOOKUP(R31,食物数据库V3!$B$6:$F$36,4,FALSE)*100,0)</f>
        <v>156.14959598863</v>
      </c>
    </row>
    <row r="33" spans="1:2">
      <c r="A33" s="8" t="s">
        <v>286</v>
      </c>
      <c r="B33" s="42" t="s">
        <v>287</v>
      </c>
    </row>
  </sheetData>
  <mergeCells count="7">
    <mergeCell ref="A1:Z1"/>
    <mergeCell ref="A3:Z3"/>
    <mergeCell ref="A6:Z6"/>
    <mergeCell ref="A13:Z13"/>
    <mergeCell ref="A20:Z20"/>
    <mergeCell ref="A27:Z27"/>
    <mergeCell ref="B33:Z33"/>
  </mergeCells>
  <dataValidations count="5">
    <dataValidation type="list" allowBlank="1" showInputMessage="1" showErrorMessage="1" sqref="B4">
      <formula1>CycleDays</formula1>
    </dataValidation>
    <dataValidation type="list" sqref="B29:B31 C15:C17 D29:D31 F29:F31">
      <formula1>CarbFoods</formula1>
    </dataValidation>
    <dataValidation type="list" sqref="H15:H17 H29:H31 J29:J31 L29:L31">
      <formula1>ProteinFoods</formula1>
    </dataValidation>
    <dataValidation type="list" sqref="M15:M17 N29:N31 P29:P31 R29:R31">
      <formula1>FatFoods</formula1>
    </dataValidation>
    <dataValidation type="list" sqref="R15:R17">
      <formula1>VegFoods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workbookViewId="0">
      <selection activeCell="A1" sqref="A1:H1"/>
    </sheetView>
  </sheetViews>
  <sheetFormatPr defaultColWidth="9" defaultRowHeight="13.5" outlineLevelCol="7"/>
  <cols>
    <col min="1" max="1" width="20" customWidth="1"/>
    <col min="2" max="2" width="90" customWidth="1"/>
  </cols>
  <sheetData>
    <row r="1" ht="32" customHeight="1" spans="1:8">
      <c r="A1" s="1" t="s">
        <v>288</v>
      </c>
    </row>
    <row r="4" ht="44" customHeight="1" spans="1:8">
      <c r="A4" s="18" t="s">
        <v>289</v>
      </c>
      <c r="B4" s="19" t="s">
        <v>290</v>
      </c>
      <c r="C4" s="11"/>
      <c r="D4" s="11"/>
      <c r="E4" s="11"/>
      <c r="F4" s="11"/>
      <c r="G4" s="11"/>
      <c r="H4" s="12"/>
    </row>
    <row r="5" ht="44" customHeight="1" spans="1:8">
      <c r="A5" s="18" t="s">
        <v>291</v>
      </c>
      <c r="B5" s="19" t="s">
        <v>292</v>
      </c>
      <c r="C5" s="11"/>
      <c r="D5" s="11"/>
      <c r="E5" s="11"/>
      <c r="F5" s="11"/>
      <c r="G5" s="11"/>
      <c r="H5" s="12"/>
    </row>
    <row r="6" ht="35" customHeight="1" spans="1:8">
      <c r="A6" s="18" t="s">
        <v>293</v>
      </c>
      <c r="B6" s="19" t="s">
        <v>294</v>
      </c>
      <c r="C6" s="11"/>
      <c r="D6" s="11"/>
      <c r="E6" s="11"/>
      <c r="F6" s="11"/>
      <c r="G6" s="11"/>
      <c r="H6" s="12"/>
    </row>
    <row r="7" ht="35" customHeight="1" spans="1:8">
      <c r="A7" s="18" t="s">
        <v>295</v>
      </c>
      <c r="B7" s="19" t="s">
        <v>296</v>
      </c>
      <c r="C7" s="11"/>
      <c r="D7" s="11"/>
      <c r="E7" s="11"/>
      <c r="F7" s="11"/>
      <c r="G7" s="11"/>
      <c r="H7" s="12"/>
    </row>
    <row r="8" ht="35" customHeight="1" spans="1:8">
      <c r="A8" s="18" t="s">
        <v>297</v>
      </c>
      <c r="B8" s="19" t="s">
        <v>298</v>
      </c>
      <c r="C8" s="11"/>
      <c r="D8" s="11"/>
      <c r="E8" s="11"/>
      <c r="F8" s="11"/>
      <c r="G8" s="11"/>
      <c r="H8" s="12"/>
    </row>
    <row r="9" ht="44" customHeight="1" spans="1:8">
      <c r="A9" s="18" t="s">
        <v>299</v>
      </c>
      <c r="B9" s="19" t="s">
        <v>300</v>
      </c>
      <c r="C9" s="11"/>
      <c r="D9" s="11"/>
      <c r="E9" s="11"/>
      <c r="F9" s="11"/>
      <c r="G9" s="11"/>
      <c r="H9" s="12"/>
    </row>
    <row r="10" ht="35" customHeight="1" spans="1:8">
      <c r="A10" s="18" t="s">
        <v>301</v>
      </c>
      <c r="B10" s="19" t="s">
        <v>302</v>
      </c>
      <c r="C10" s="11"/>
      <c r="D10" s="11"/>
      <c r="E10" s="11"/>
      <c r="F10" s="11"/>
      <c r="G10" s="11"/>
      <c r="H10" s="12"/>
    </row>
    <row r="11" spans="1:8">
      <c r="B11" s="20"/>
    </row>
    <row r="12" ht="44" customHeight="1" spans="1:8">
      <c r="A12" s="8" t="s">
        <v>303</v>
      </c>
      <c r="B12" s="20" t="s">
        <v>304</v>
      </c>
    </row>
    <row r="13" spans="1:8">
      <c r="A13" s="8" t="s">
        <v>305</v>
      </c>
      <c r="B13" s="20" t="s">
        <v>306</v>
      </c>
    </row>
    <row r="14" ht="27" spans="1:8">
      <c r="A14" s="8" t="s">
        <v>307</v>
      </c>
      <c r="B14" s="20" t="s">
        <v>308</v>
      </c>
    </row>
    <row r="15" spans="1:8">
      <c r="B15" s="20"/>
    </row>
    <row r="16" ht="44" customHeight="1" spans="1:8">
      <c r="A16" s="8" t="s">
        <v>309</v>
      </c>
      <c r="B16" s="20" t="s">
        <v>310</v>
      </c>
    </row>
    <row r="17" spans="1:2">
      <c r="A17" s="8" t="s">
        <v>311</v>
      </c>
      <c r="B17" s="20" t="s">
        <v>312</v>
      </c>
    </row>
    <row r="18" spans="1:2">
      <c r="B18" s="20"/>
    </row>
    <row r="19" ht="42" customHeight="1" spans="1:2">
      <c r="A19" s="21" t="s">
        <v>313</v>
      </c>
      <c r="B19" s="20" t="s">
        <v>314</v>
      </c>
    </row>
    <row r="20" ht="42" customHeight="1" spans="1:2">
      <c r="A20" s="21" t="s">
        <v>315</v>
      </c>
      <c r="B20" s="20" t="s">
        <v>316</v>
      </c>
    </row>
    <row r="21" ht="42" customHeight="1" spans="1:2">
      <c r="A21" s="21" t="s">
        <v>317</v>
      </c>
      <c r="B21" s="20" t="s">
        <v>318</v>
      </c>
    </row>
    <row r="22" ht="44" customHeight="1" spans="1:2">
      <c r="A22" s="21" t="s">
        <v>319</v>
      </c>
      <c r="B22" s="20" t="s">
        <v>320</v>
      </c>
    </row>
    <row r="23" ht="44" customHeight="1" spans="1:2">
      <c r="A23" s="21" t="s">
        <v>321</v>
      </c>
      <c r="B23" s="20" t="s">
        <v>322</v>
      </c>
    </row>
    <row r="24" ht="44" customHeight="1" spans="1:2">
      <c r="A24" s="21" t="s">
        <v>323</v>
      </c>
      <c r="B24" s="20" t="s">
        <v>324</v>
      </c>
    </row>
  </sheetData>
  <mergeCells count="8">
    <mergeCell ref="A1:H1"/>
    <mergeCell ref="B4:H4"/>
    <mergeCell ref="B5:H5"/>
    <mergeCell ref="B6:H6"/>
    <mergeCell ref="B7:H7"/>
    <mergeCell ref="B8:H8"/>
    <mergeCell ref="B9:H9"/>
    <mergeCell ref="B10:H10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A1" sqref="A1"/>
    </sheetView>
  </sheetViews>
  <sheetFormatPr defaultColWidth="9" defaultRowHeight="13.5"/>
  <cols>
    <col min="6" max="6" width="10.6371681415929" customWidth="1"/>
    <col min="7" max="7" width="15.6371681415929" customWidth="1"/>
    <col min="8" max="8" width="12.6371681415929" customWidth="1"/>
    <col min="9" max="9" width="14.6371681415929" customWidth="1"/>
  </cols>
  <sheetData>
    <row r="1" ht="14.65" spans="1:9">
      <c r="A1" t="s">
        <v>325</v>
      </c>
      <c r="B1" t="s">
        <v>184</v>
      </c>
      <c r="C1" t="s">
        <v>185</v>
      </c>
      <c r="D1" t="s">
        <v>187</v>
      </c>
      <c r="E1" t="s">
        <v>188</v>
      </c>
      <c r="F1" s="16" t="s">
        <v>41</v>
      </c>
      <c r="G1" s="16" t="s">
        <v>43</v>
      </c>
      <c r="H1" s="16" t="s">
        <v>44</v>
      </c>
      <c r="I1" s="16" t="s">
        <v>45</v>
      </c>
    </row>
    <row r="2" ht="13.85" spans="1:9">
      <c r="A2" t="s">
        <v>326</v>
      </c>
      <c r="B2" t="str" cm="1">
        <f t="array" ref="B2:B9">_xlfn._xlws.FILTER(食物数据库V3!$B$6:$B$59,食物数据库V3!$A$6:$A$59=B$1,"")</f>
        <v>熟米饭</v>
      </c>
      <c r="C2" t="str" cm="1">
        <f t="array" ref="C2:C9">_xlfn._xlws.FILTER(食物数据库V3!$B$6:$B$59,食物数据库V3!$A$6:$A$59=C$1,"")</f>
        <v>鸡胸肉（生）</v>
      </c>
      <c r="D2" t="str" cm="1">
        <f t="array" ref="D2:D6">_xlfn._xlws.FILTER(食物数据库V3!$B$6:$B$59,食物数据库V3!$A$6:$A$59=D$1,"")</f>
        <v>橄榄油</v>
      </c>
      <c r="E2" t="str" cm="1">
        <f t="array" ref="E2:E7">_xlfn._xlws.FILTER(食物数据库V3!$B$6:$B$59,食物数据库V3!$A$6:$A$59=E$1,"")</f>
        <v>西兰花</v>
      </c>
      <c r="F2" s="17">
        <v>1</v>
      </c>
      <c r="G2" s="17" t="s">
        <v>25</v>
      </c>
      <c r="H2" s="17" t="s">
        <v>52</v>
      </c>
      <c r="I2" s="17" t="s">
        <v>55</v>
      </c>
    </row>
    <row r="3" ht="13.85" spans="1:9">
      <c r="A3" t="s">
        <v>327</v>
      </c>
      <c r="B3" t="str">
        <v>土豆（熟）</v>
      </c>
      <c r="C3" t="str">
        <v>鸡胸肉（熟）</v>
      </c>
      <c r="D3" t="str">
        <v>牛油果</v>
      </c>
      <c r="E3" t="str">
        <v>生菜</v>
      </c>
      <c r="F3" s="17">
        <v>2</v>
      </c>
      <c r="G3" s="17" t="s">
        <v>28</v>
      </c>
      <c r="H3" s="17" t="s">
        <v>54</v>
      </c>
      <c r="I3" s="17" t="s">
        <v>328</v>
      </c>
    </row>
    <row r="4" ht="13.85" spans="1:9">
      <c r="A4" t="s">
        <v>329</v>
      </c>
      <c r="B4" t="str">
        <v>红薯（熟）</v>
      </c>
      <c r="C4" t="str">
        <v>鸡蛋</v>
      </c>
      <c r="D4" t="str">
        <v>杏仁</v>
      </c>
      <c r="E4" t="str">
        <v>菠菜</v>
      </c>
      <c r="F4" s="17">
        <v>3</v>
      </c>
      <c r="G4" s="17" t="s">
        <v>31</v>
      </c>
      <c r="H4" s="17"/>
      <c r="I4" s="17" t="s">
        <v>330</v>
      </c>
    </row>
    <row r="5" ht="13.85" spans="1:9">
      <c r="A5" t="s">
        <v>331</v>
      </c>
      <c r="B5" t="str">
        <v>燕麦（干）</v>
      </c>
      <c r="C5" t="str">
        <v>脱脂牛奶</v>
      </c>
      <c r="D5" t="str">
        <v>花生酱</v>
      </c>
      <c r="E5" t="str">
        <v>番茄</v>
      </c>
      <c r="F5" s="17">
        <v>4</v>
      </c>
      <c r="G5" s="17"/>
      <c r="H5" s="17"/>
      <c r="I5" s="17" t="s">
        <v>53</v>
      </c>
    </row>
    <row r="6" ht="13.85" spans="1:9">
      <c r="A6" t="s">
        <v>332</v>
      </c>
      <c r="B6" t="str">
        <v>全麦面包</v>
      </c>
      <c r="C6" t="str">
        <v>希腊酸奶（低脂）</v>
      </c>
      <c r="D6" t="str">
        <v>腰果</v>
      </c>
      <c r="E6" t="str">
        <v>黄瓜</v>
      </c>
      <c r="F6" s="17">
        <v>5</v>
      </c>
      <c r="G6" s="17"/>
      <c r="H6" s="17"/>
      <c r="I6" s="17" t="s">
        <v>333</v>
      </c>
    </row>
    <row r="7" ht="13.85" spans="1:9">
      <c r="A7" t="s">
        <v>334</v>
      </c>
      <c r="B7" t="str">
        <v>玉米（熟）</v>
      </c>
      <c r="C7" t="str">
        <v>金枪鱼（水浸）</v>
      </c>
      <c r="E7" t="str">
        <v>胡萝卜</v>
      </c>
      <c r="F7" s="17">
        <v>6</v>
      </c>
      <c r="G7" s="17"/>
      <c r="H7" s="17"/>
      <c r="I7" s="17"/>
    </row>
    <row r="8" ht="13.85" spans="1:9">
      <c r="A8" t="s">
        <v>335</v>
      </c>
      <c r="B8" t="str">
        <v>意面（熟）</v>
      </c>
      <c r="C8" t="str">
        <v>虾仁</v>
      </c>
      <c r="F8" s="17">
        <v>7</v>
      </c>
      <c r="G8" s="17"/>
      <c r="H8" s="17"/>
      <c r="I8" s="17"/>
    </row>
    <row r="9" ht="13.85" spans="1:9">
      <c r="B9" t="str">
        <v>荞麦面（熟）</v>
      </c>
      <c r="C9" t="str">
        <v>全脂牛奶</v>
      </c>
      <c r="F9" s="17">
        <v>8</v>
      </c>
      <c r="G9" s="17"/>
      <c r="H9" s="17"/>
      <c r="I9" s="17"/>
    </row>
    <row r="10" ht="13.85" spans="1:9">
      <c r="F10" s="17">
        <v>9</v>
      </c>
      <c r="G10" s="17"/>
      <c r="H10" s="17"/>
      <c r="I10" s="17"/>
    </row>
    <row r="11" ht="13.85" spans="1:9">
      <c r="F11" s="17">
        <v>10</v>
      </c>
      <c r="G11" s="17"/>
      <c r="H11" s="17"/>
      <c r="I11" s="17"/>
    </row>
    <row r="12" ht="13.85" spans="1:9">
      <c r="F12" s="17">
        <v>11</v>
      </c>
      <c r="G12" s="17"/>
      <c r="H12" s="17"/>
      <c r="I12" s="17"/>
    </row>
    <row r="13" ht="13.85" spans="1:9">
      <c r="F13" s="17">
        <v>12</v>
      </c>
      <c r="G13" s="17"/>
      <c r="H13" s="17"/>
      <c r="I13" s="17"/>
    </row>
    <row r="14" ht="13.85" spans="1:9">
      <c r="F14" s="17">
        <v>13</v>
      </c>
      <c r="G14" s="17"/>
      <c r="H14" s="17"/>
      <c r="I14" s="17"/>
    </row>
    <row r="15" ht="13.85" spans="1:9">
      <c r="F15" s="17">
        <v>14</v>
      </c>
      <c r="G15" s="17"/>
      <c r="H15" s="17"/>
      <c r="I15" s="17"/>
    </row>
    <row r="16" ht="13.85" spans="1:9">
      <c r="F16" s="17">
        <v>15</v>
      </c>
      <c r="G16" s="17"/>
      <c r="H16" s="17"/>
      <c r="I16" s="17"/>
    </row>
    <row r="17" ht="13.85" spans="6:9">
      <c r="F17" s="17">
        <v>16</v>
      </c>
      <c r="G17" s="17"/>
      <c r="H17" s="17"/>
      <c r="I17" s="17"/>
    </row>
    <row r="18" ht="13.85" spans="6:9">
      <c r="F18" s="17">
        <v>17</v>
      </c>
      <c r="G18" s="17"/>
      <c r="H18" s="17"/>
      <c r="I18" s="17"/>
    </row>
    <row r="19" ht="13.85" spans="6:9">
      <c r="F19" s="17">
        <v>18</v>
      </c>
      <c r="G19" s="17"/>
      <c r="H19" s="17"/>
      <c r="I19" s="17"/>
    </row>
    <row r="20" ht="13.85" spans="6:9">
      <c r="F20" s="17">
        <v>19</v>
      </c>
      <c r="G20" s="17"/>
      <c r="H20" s="17"/>
      <c r="I20" s="17"/>
    </row>
    <row r="21" ht="13.85" spans="6:9">
      <c r="F21" s="17">
        <v>20</v>
      </c>
      <c r="G21" s="17"/>
      <c r="H21" s="17"/>
      <c r="I21" s="17"/>
    </row>
    <row r="22" ht="13.85" spans="6:9">
      <c r="F22" s="17">
        <v>21</v>
      </c>
      <c r="G22" s="17"/>
      <c r="H22" s="17"/>
      <c r="I22" s="17"/>
    </row>
    <row r="23" ht="13.85" spans="6:9">
      <c r="F23" s="17">
        <v>22</v>
      </c>
      <c r="G23" s="17"/>
      <c r="H23" s="17"/>
      <c r="I23" s="17"/>
    </row>
    <row r="24" ht="13.85" spans="6:9">
      <c r="F24" s="17">
        <v>23</v>
      </c>
      <c r="G24" s="17"/>
      <c r="H24" s="17"/>
      <c r="I24" s="17"/>
    </row>
    <row r="25" ht="13.85" spans="6:9">
      <c r="F25" s="17">
        <v>24</v>
      </c>
      <c r="G25" s="17"/>
      <c r="H25" s="17"/>
      <c r="I25" s="17"/>
    </row>
    <row r="26" ht="13.85" spans="6:9">
      <c r="F26" s="17">
        <v>25</v>
      </c>
      <c r="G26" s="17"/>
      <c r="H26" s="17"/>
      <c r="I26" s="17"/>
    </row>
    <row r="27" ht="13.85" spans="6:9">
      <c r="F27" s="17">
        <v>26</v>
      </c>
      <c r="G27" s="17"/>
      <c r="H27" s="17"/>
      <c r="I27" s="17"/>
    </row>
    <row r="28" ht="13.85" spans="6:9">
      <c r="F28" s="17">
        <v>27</v>
      </c>
      <c r="G28" s="17"/>
      <c r="H28" s="17"/>
      <c r="I28" s="17"/>
    </row>
    <row r="29" ht="13.85" spans="6:9">
      <c r="F29" s="17">
        <v>28</v>
      </c>
      <c r="G29" s="17"/>
      <c r="H29" s="17"/>
      <c r="I29" s="17"/>
    </row>
    <row r="30" ht="13.85" spans="6:9">
      <c r="F30" s="17">
        <v>29</v>
      </c>
      <c r="G30" s="17"/>
      <c r="H30" s="17"/>
      <c r="I30" s="17"/>
    </row>
    <row r="31" ht="13.85" spans="6:9">
      <c r="F31" s="17">
        <v>30</v>
      </c>
      <c r="G31" s="17"/>
      <c r="H31" s="17"/>
      <c r="I31" s="17"/>
    </row>
    <row r="32" ht="13.85" spans="6:9">
      <c r="F32" s="17">
        <v>31</v>
      </c>
      <c r="G32" s="17"/>
      <c r="H32" s="17"/>
      <c r="I32" s="17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showGridLines="0" workbookViewId="0">
      <selection activeCell="A1" sqref="A1:H1"/>
    </sheetView>
  </sheetViews>
  <sheetFormatPr defaultColWidth="9" defaultRowHeight="13.5" outlineLevelCol="7"/>
  <cols>
    <col min="1" max="1" width="23.6371681415929" customWidth="1"/>
    <col min="2" max="2" width="18" customWidth="1"/>
    <col min="3" max="3" width="42" customWidth="1"/>
    <col min="4" max="8" width="18" customWidth="1"/>
  </cols>
  <sheetData>
    <row r="1" ht="32" customHeight="1" spans="1:6">
      <c r="A1" s="1" t="s">
        <v>336</v>
      </c>
    </row>
    <row r="3" ht="15.75" spans="1:6">
      <c r="A3" s="4" t="s">
        <v>337</v>
      </c>
    </row>
    <row r="4" spans="1:6">
      <c r="A4" s="9" t="s">
        <v>338</v>
      </c>
      <c r="B4" s="10" t="s">
        <v>339</v>
      </c>
      <c r="C4" s="9" t="s">
        <v>340</v>
      </c>
      <c r="D4" s="11"/>
      <c r="E4" s="11"/>
      <c r="F4" s="12"/>
    </row>
    <row r="5" spans="1:6">
      <c r="A5" s="9" t="s">
        <v>341</v>
      </c>
      <c r="B5" s="10">
        <v>37</v>
      </c>
      <c r="C5" s="9" t="s">
        <v>342</v>
      </c>
      <c r="D5" s="11"/>
      <c r="E5" s="11"/>
      <c r="F5" s="12"/>
    </row>
    <row r="6" spans="1:6">
      <c r="A6" s="9" t="s">
        <v>343</v>
      </c>
      <c r="B6" s="10">
        <v>178</v>
      </c>
      <c r="C6" s="9" t="s">
        <v>344</v>
      </c>
      <c r="D6" s="11"/>
      <c r="E6" s="11"/>
      <c r="F6" s="12"/>
    </row>
    <row r="7" spans="1:6">
      <c r="A7" s="9" t="s">
        <v>345</v>
      </c>
      <c r="B7" s="13">
        <f>V6周期计划!B4</f>
        <v>85</v>
      </c>
      <c r="C7" s="9" t="s">
        <v>346</v>
      </c>
      <c r="D7" s="11"/>
      <c r="E7" s="11"/>
      <c r="F7" s="12"/>
    </row>
    <row r="8" spans="1:6">
      <c r="A8" s="9" t="s">
        <v>347</v>
      </c>
      <c r="B8" s="10">
        <v>1.375</v>
      </c>
      <c r="C8" s="9" t="s">
        <v>348</v>
      </c>
      <c r="D8" s="11"/>
      <c r="E8" s="11"/>
      <c r="F8" s="12"/>
    </row>
    <row r="9" spans="1:6">
      <c r="A9" s="9" t="s">
        <v>349</v>
      </c>
      <c r="B9" s="10">
        <v>500</v>
      </c>
      <c r="C9" s="9" t="s">
        <v>350</v>
      </c>
      <c r="D9" s="11"/>
      <c r="E9" s="11"/>
      <c r="F9" s="12"/>
    </row>
    <row r="11" ht="15.75" spans="1:6">
      <c r="A11" s="4" t="s">
        <v>351</v>
      </c>
    </row>
    <row r="12" spans="1:6">
      <c r="A12" s="9" t="s">
        <v>352</v>
      </c>
      <c r="B12" s="14">
        <f>IF(B4="男",10*B7+6.25*B6-5*B5+5,10*B7+6.25*B6-5*B5-161)</f>
        <v>1782.5</v>
      </c>
    </row>
    <row r="13" spans="1:6">
      <c r="A13" s="9" t="s">
        <v>353</v>
      </c>
      <c r="B13" s="14">
        <f>B12*B8</f>
        <v>2450.9375</v>
      </c>
    </row>
    <row r="14" spans="1:6">
      <c r="A14" s="9" t="s">
        <v>354</v>
      </c>
      <c r="B14" s="14">
        <f>MAX(B12,B13-B9)</f>
        <v>1950.9375</v>
      </c>
    </row>
    <row r="15" spans="1:6">
      <c r="A15" s="9" t="s">
        <v>355</v>
      </c>
      <c r="B15" s="14">
        <f>V6周期计划!B8</f>
        <v>1768</v>
      </c>
    </row>
    <row r="16" spans="1:6">
      <c r="A16" s="9" t="s">
        <v>356</v>
      </c>
      <c r="B16" s="14">
        <f>B15-B14</f>
        <v>-182.9375</v>
      </c>
    </row>
    <row r="19" spans="1:1">
      <c r="A19" s="15" t="s">
        <v>357</v>
      </c>
    </row>
  </sheetData>
  <mergeCells count="10">
    <mergeCell ref="A1:H1"/>
    <mergeCell ref="A3:H3"/>
    <mergeCell ref="C4:F4"/>
    <mergeCell ref="C5:F5"/>
    <mergeCell ref="C6:F6"/>
    <mergeCell ref="C7:F7"/>
    <mergeCell ref="C8:F8"/>
    <mergeCell ref="C9:F9"/>
    <mergeCell ref="A11:H11"/>
    <mergeCell ref="A19:H21"/>
  </mergeCells>
  <dataValidations count="1">
    <dataValidation type="list" sqref="B4">
      <formula1>"男,女"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showGridLines="0" workbookViewId="0">
      <selection activeCell="A1" sqref="A1:L1"/>
    </sheetView>
  </sheetViews>
  <sheetFormatPr defaultColWidth="9" defaultRowHeight="13.5"/>
  <cols>
    <col min="1" max="1" width="28" customWidth="1"/>
    <col min="2" max="8" width="18" customWidth="1"/>
    <col min="9" max="9" width="22" customWidth="1"/>
    <col min="10" max="12" width="18" customWidth="1"/>
  </cols>
  <sheetData>
    <row r="1" ht="32" customHeight="1" spans="1:11">
      <c r="A1" s="1" t="s">
        <v>358</v>
      </c>
    </row>
    <row r="3" ht="15.75" spans="1:11">
      <c r="A3" s="4" t="s">
        <v>359</v>
      </c>
    </row>
    <row r="4" spans="1:11">
      <c r="A4" t="s">
        <v>96</v>
      </c>
      <c r="B4" s="5">
        <v>1</v>
      </c>
      <c r="D4" t="s">
        <v>97</v>
      </c>
      <c r="E4" s="6">
        <f>IF(B4&gt;CycleLength,"",IFERROR(VLOOKUP(B4,V6周期计划!$A$20:$J$50,7,FALSE),""))</f>
        <v>150.845070422535</v>
      </c>
      <c r="G4" t="s">
        <v>98</v>
      </c>
      <c r="H4" s="6">
        <f>IF(B4&gt;CycleLength,"",IFERROR(VLOOKUP(B4,V6周期计划!$A$20:$J$50,8,FALSE),""))</f>
        <v>119</v>
      </c>
      <c r="J4" t="s">
        <v>99</v>
      </c>
      <c r="K4" s="6">
        <f>IF(B4&gt;CycleLength,"",IFERROR(VLOOKUP(B4,V6周期计划!$A$20:$J$50,9,FALSE),""))</f>
        <v>76.5133020344288</v>
      </c>
    </row>
    <row r="6" ht="15.75" spans="1:11">
      <c r="A6" s="4" t="s">
        <v>360</v>
      </c>
    </row>
    <row r="7" spans="1:11">
      <c r="A7" s="2" t="s">
        <v>361</v>
      </c>
      <c r="B7" s="2" t="s">
        <v>47</v>
      </c>
      <c r="C7" s="2" t="s">
        <v>48</v>
      </c>
      <c r="D7" s="2" t="s">
        <v>49</v>
      </c>
      <c r="E7" s="2" t="s">
        <v>155</v>
      </c>
      <c r="F7" s="2" t="s">
        <v>362</v>
      </c>
      <c r="G7" s="2" t="s">
        <v>363</v>
      </c>
      <c r="H7" s="2" t="s">
        <v>364</v>
      </c>
      <c r="I7" s="2" t="s">
        <v>73</v>
      </c>
    </row>
    <row r="8" spans="1:11">
      <c r="A8" s="3" t="s">
        <v>141</v>
      </c>
      <c r="B8" s="7">
        <f>IFERROR(VLOOKUP($A8,食物数据库V3!$B$6:$F$37,2,FALSE),"")</f>
        <v>30</v>
      </c>
      <c r="C8" s="7">
        <f>IFERROR(VLOOKUP($A8,食物数据库V3!$B$6:$F$37,3,FALSE),"")</f>
        <v>2.6</v>
      </c>
      <c r="D8" s="7">
        <f>IFERROR(VLOOKUP($A8,食物数据库V3!$B$6:$F$37,4,FALSE),"")</f>
        <v>0.3</v>
      </c>
      <c r="E8" s="7">
        <f>IFERROR(VLOOKUP($A8,食物数据库V3!$B$6:$F$37,5,FALSE),"")</f>
        <v>133</v>
      </c>
      <c r="F8" s="7">
        <f t="shared" ref="F8:F13" si="0">IF(B8=0,"-",100*$E$4/B8)</f>
        <v>502.816901408451</v>
      </c>
      <c r="G8" s="7">
        <f t="shared" ref="G8:G13" si="1">IF(C8=0,"-",100*$H$4/C8)</f>
        <v>4576.92307692308</v>
      </c>
      <c r="H8" s="7">
        <f t="shared" ref="H8:H13" si="2">IF(D8=0,"-",100*$K$4/D8)</f>
        <v>25504.4340114763</v>
      </c>
      <c r="I8" s="3" t="s">
        <v>365</v>
      </c>
    </row>
    <row r="9" spans="1:11">
      <c r="A9" s="3" t="s">
        <v>133</v>
      </c>
      <c r="B9" s="7">
        <f>IFERROR(VLOOKUP($A9,食物数据库V3!$B$6:$F$37,2,FALSE),"")</f>
        <v>66.3</v>
      </c>
      <c r="C9" s="7">
        <f>IFERROR(VLOOKUP($A9,食物数据库V3!$B$6:$F$37,3,FALSE),"")</f>
        <v>16.9</v>
      </c>
      <c r="D9" s="7">
        <f>IFERROR(VLOOKUP($A9,食物数据库V3!$B$6:$F$37,4,FALSE),"")</f>
        <v>6.9</v>
      </c>
      <c r="E9" s="7">
        <f>IFERROR(VLOOKUP($A9,食物数据库V3!$B$6:$F$37,5,FALSE),"")</f>
        <v>395</v>
      </c>
      <c r="F9" s="7">
        <f t="shared" si="0"/>
        <v>227.518959913326</v>
      </c>
      <c r="G9" s="7">
        <f t="shared" si="1"/>
        <v>704.14201183432</v>
      </c>
      <c r="H9" s="7">
        <f t="shared" si="2"/>
        <v>1108.88843528158</v>
      </c>
      <c r="I9" s="3" t="s">
        <v>366</v>
      </c>
    </row>
    <row r="10" spans="1:11">
      <c r="A10" s="3" t="s">
        <v>143</v>
      </c>
      <c r="B10" s="7">
        <f>IFERROR(VLOOKUP($A10,食物数据库V3!$B$6:$F$37,2,FALSE),"")</f>
        <v>0</v>
      </c>
      <c r="C10" s="7">
        <f>IFERROR(VLOOKUP($A10,食物数据库V3!$B$6:$F$37,3,FALSE),"")</f>
        <v>22</v>
      </c>
      <c r="D10" s="7">
        <f>IFERROR(VLOOKUP($A10,食物数据库V3!$B$6:$F$37,4,FALSE),"")</f>
        <v>1.5</v>
      </c>
      <c r="E10" s="7">
        <f>IFERROR(VLOOKUP($A10,食物数据库V3!$B$6:$F$37,5,FALSE),"")</f>
        <v>102</v>
      </c>
      <c r="F10" s="7" t="str">
        <f t="shared" si="0"/>
        <v>-</v>
      </c>
      <c r="G10" s="7">
        <f t="shared" si="1"/>
        <v>540.909090909091</v>
      </c>
      <c r="H10" s="7">
        <f t="shared" si="2"/>
        <v>5100.88680229525</v>
      </c>
      <c r="I10" s="3" t="s">
        <v>367</v>
      </c>
    </row>
    <row r="11" spans="1:11">
      <c r="A11" s="3" t="s">
        <v>128</v>
      </c>
      <c r="B11" s="7">
        <f>IFERROR(VLOOKUP($A11,食物数据库V3!$B$6:$F$37,2,FALSE),"")</f>
        <v>1.1</v>
      </c>
      <c r="C11" s="7">
        <f>IFERROR(VLOOKUP($A11,食物数据库V3!$B$6:$F$37,3,FALSE),"")</f>
        <v>12.6</v>
      </c>
      <c r="D11" s="7">
        <f>IFERROR(VLOOKUP($A11,食物数据库V3!$B$6:$F$37,4,FALSE),"")</f>
        <v>10</v>
      </c>
      <c r="E11" s="7">
        <f>IFERROR(VLOOKUP($A11,食物数据库V3!$B$6:$F$37,5,FALSE),"")</f>
        <v>145</v>
      </c>
      <c r="F11" s="7">
        <f t="shared" si="0"/>
        <v>13713.1882202305</v>
      </c>
      <c r="G11" s="7">
        <f t="shared" si="1"/>
        <v>944.444444444444</v>
      </c>
      <c r="H11" s="7">
        <f t="shared" si="2"/>
        <v>765.133020344288</v>
      </c>
      <c r="I11" s="3" t="s">
        <v>368</v>
      </c>
    </row>
    <row r="12" spans="1:11">
      <c r="A12" s="3" t="s">
        <v>134</v>
      </c>
      <c r="B12" s="7">
        <f>IFERROR(VLOOKUP($A12,食物数据库V3!$B$6:$F$37,2,FALSE),"")</f>
        <v>5</v>
      </c>
      <c r="C12" s="7">
        <f>IFERROR(VLOOKUP($A12,食物数据库V3!$B$6:$F$37,3,FALSE),"")</f>
        <v>3.4</v>
      </c>
      <c r="D12" s="7">
        <f>IFERROR(VLOOKUP($A12,食物数据库V3!$B$6:$F$37,4,FALSE),"")</f>
        <v>0.1</v>
      </c>
      <c r="E12" s="7">
        <f>IFERROR(VLOOKUP($A12,食物数据库V3!$B$6:$F$37,5,FALSE),"")</f>
        <v>35</v>
      </c>
      <c r="F12" s="7">
        <f t="shared" si="0"/>
        <v>3016.9014084507</v>
      </c>
      <c r="G12" s="7">
        <f t="shared" si="1"/>
        <v>3500</v>
      </c>
      <c r="H12" s="7">
        <f t="shared" si="2"/>
        <v>76513.3020344288</v>
      </c>
      <c r="I12" s="3" t="s">
        <v>369</v>
      </c>
    </row>
    <row r="13" spans="1:11">
      <c r="A13" s="3" t="s">
        <v>130</v>
      </c>
      <c r="B13" s="7">
        <f>IFERROR(VLOOKUP($A13,食物数据库V3!$B$6:$F$37,2,FALSE),"")</f>
        <v>0</v>
      </c>
      <c r="C13" s="7">
        <f>IFERROR(VLOOKUP($A13,食物数据库V3!$B$6:$F$37,3,FALSE),"")</f>
        <v>0</v>
      </c>
      <c r="D13" s="7">
        <f>IFERROR(VLOOKUP($A13,食物数据库V3!$B$6:$F$37,4,FALSE),"")</f>
        <v>100</v>
      </c>
      <c r="E13" s="7">
        <f>IFERROR(VLOOKUP($A13,食物数据库V3!$B$6:$F$37,5,FALSE),"")</f>
        <v>900</v>
      </c>
      <c r="F13" s="7" t="str">
        <f t="shared" si="0"/>
        <v>-</v>
      </c>
      <c r="G13" s="7" t="str">
        <f t="shared" si="1"/>
        <v>-</v>
      </c>
      <c r="H13" s="7">
        <f t="shared" si="2"/>
        <v>76.5133020344288</v>
      </c>
      <c r="I13" s="3" t="s">
        <v>370</v>
      </c>
    </row>
    <row r="16" ht="15.75" spans="1:11">
      <c r="A16" s="4" t="s">
        <v>371</v>
      </c>
    </row>
    <row r="17" spans="1:2">
      <c r="A17" s="8" t="s">
        <v>372</v>
      </c>
      <c r="B17" s="6">
        <f>100*$E$4/$B$8</f>
        <v>502.816901408451</v>
      </c>
    </row>
    <row r="18" spans="1:2">
      <c r="A18" s="8" t="s">
        <v>373</v>
      </c>
      <c r="B18" s="6">
        <f>100*$H$4/$C$10</f>
        <v>540.909090909091</v>
      </c>
    </row>
    <row r="19" spans="1:2">
      <c r="A19" s="8" t="s">
        <v>374</v>
      </c>
      <c r="B19" s="6">
        <f>100*$K$4/$D$13</f>
        <v>76.5133020344288</v>
      </c>
    </row>
  </sheetData>
  <mergeCells count="4">
    <mergeCell ref="A1:L1"/>
    <mergeCell ref="A3:L3"/>
    <mergeCell ref="A6:L6"/>
    <mergeCell ref="A16:L16"/>
  </mergeCells>
  <dataValidations count="1">
    <dataValidation type="list" allowBlank="1" showInputMessage="1" showErrorMessage="1" sqref="B4">
      <formula1>CycleDays</formula1>
    </dataValidation>
  </dataValidation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showGridLines="0" workbookViewId="0">
      <selection activeCell="A1" sqref="A1:H1"/>
    </sheetView>
  </sheetViews>
  <sheetFormatPr defaultColWidth="9" defaultRowHeight="13.5" outlineLevelCol="7"/>
  <cols>
    <col min="1" max="1" width="10" customWidth="1"/>
    <col min="2" max="2" width="15" customWidth="1"/>
    <col min="3" max="4" width="14" customWidth="1"/>
    <col min="5" max="5" width="20" customWidth="1"/>
    <col min="6" max="6" width="28" customWidth="1"/>
  </cols>
  <sheetData>
    <row r="1" ht="32" customHeight="1" spans="1:6">
      <c r="A1" s="1" t="s">
        <v>375</v>
      </c>
    </row>
    <row r="3" spans="1:6">
      <c r="A3" s="2" t="s">
        <v>376</v>
      </c>
      <c r="B3" s="2" t="s">
        <v>377</v>
      </c>
      <c r="C3" s="2" t="s">
        <v>378</v>
      </c>
      <c r="D3" s="2" t="s">
        <v>379</v>
      </c>
      <c r="E3" s="2" t="s">
        <v>380</v>
      </c>
      <c r="F3" s="2" t="s">
        <v>73</v>
      </c>
    </row>
    <row r="4" spans="1:6">
      <c r="A4" s="3">
        <v>1</v>
      </c>
      <c r="B4" s="3" t="s">
        <v>381</v>
      </c>
      <c r="C4" s="3" t="s">
        <v>381</v>
      </c>
      <c r="D4" s="3" t="s">
        <v>381</v>
      </c>
      <c r="E4" s="3">
        <f>V6周期计划!B8</f>
        <v>1768</v>
      </c>
      <c r="F4" s="3"/>
    </row>
    <row r="5" spans="1:6">
      <c r="A5" s="3">
        <v>2</v>
      </c>
      <c r="B5" s="3" t="s">
        <v>381</v>
      </c>
      <c r="C5" s="3" t="s">
        <v>381</v>
      </c>
      <c r="D5" s="3" t="s">
        <v>381</v>
      </c>
      <c r="E5" s="3">
        <f>V6周期计划!B8</f>
        <v>1768</v>
      </c>
      <c r="F5" s="3"/>
    </row>
    <row r="6" spans="1:6">
      <c r="A6" s="3">
        <v>3</v>
      </c>
      <c r="B6" s="3" t="s">
        <v>381</v>
      </c>
      <c r="C6" s="3" t="s">
        <v>381</v>
      </c>
      <c r="D6" s="3" t="s">
        <v>381</v>
      </c>
      <c r="E6" s="3">
        <f>V6周期计划!B8</f>
        <v>1768</v>
      </c>
      <c r="F6" s="3"/>
    </row>
    <row r="7" spans="1:6">
      <c r="A7" s="3">
        <v>4</v>
      </c>
      <c r="B7" s="3" t="s">
        <v>381</v>
      </c>
      <c r="C7" s="3" t="s">
        <v>381</v>
      </c>
      <c r="D7" s="3" t="s">
        <v>381</v>
      </c>
      <c r="E7" s="3">
        <f>V6周期计划!B8</f>
        <v>1768</v>
      </c>
      <c r="F7" s="3"/>
    </row>
    <row r="8" spans="1:6">
      <c r="A8" s="3">
        <v>5</v>
      </c>
      <c r="B8" s="3" t="s">
        <v>381</v>
      </c>
      <c r="C8" s="3" t="s">
        <v>381</v>
      </c>
      <c r="D8" s="3" t="s">
        <v>381</v>
      </c>
      <c r="E8" s="3">
        <f>V6周期计划!B8</f>
        <v>1768</v>
      </c>
      <c r="F8" s="3"/>
    </row>
    <row r="9" spans="1:6">
      <c r="A9" s="3">
        <v>6</v>
      </c>
      <c r="B9" s="3" t="s">
        <v>381</v>
      </c>
      <c r="C9" s="3" t="s">
        <v>381</v>
      </c>
      <c r="D9" s="3" t="s">
        <v>381</v>
      </c>
      <c r="E9" s="3">
        <f>V6周期计划!B8</f>
        <v>1768</v>
      </c>
      <c r="F9" s="3"/>
    </row>
    <row r="10" spans="1:6">
      <c r="A10" s="3">
        <v>7</v>
      </c>
      <c r="B10" s="3" t="s">
        <v>381</v>
      </c>
      <c r="C10" s="3" t="s">
        <v>381</v>
      </c>
      <c r="D10" s="3" t="s">
        <v>381</v>
      </c>
      <c r="E10" s="3">
        <f>V6周期计划!B8</f>
        <v>1768</v>
      </c>
      <c r="F10" s="3"/>
    </row>
    <row r="11" spans="1:6">
      <c r="A11" s="3">
        <v>8</v>
      </c>
      <c r="B11" s="3" t="s">
        <v>381</v>
      </c>
      <c r="C11" s="3" t="s">
        <v>381</v>
      </c>
      <c r="D11" s="3" t="s">
        <v>381</v>
      </c>
      <c r="E11" s="3">
        <f>V6周期计划!B8</f>
        <v>1768</v>
      </c>
      <c r="F11" s="3"/>
    </row>
    <row r="12" spans="1:6">
      <c r="A12" s="3">
        <v>9</v>
      </c>
      <c r="B12" s="3" t="s">
        <v>381</v>
      </c>
      <c r="C12" s="3" t="s">
        <v>381</v>
      </c>
      <c r="D12" s="3" t="s">
        <v>381</v>
      </c>
      <c r="E12" s="3">
        <f>V6周期计划!B8</f>
        <v>1768</v>
      </c>
      <c r="F12" s="3"/>
    </row>
    <row r="13" spans="1:6">
      <c r="A13" s="3">
        <v>10</v>
      </c>
      <c r="B13" s="3" t="s">
        <v>381</v>
      </c>
      <c r="C13" s="3" t="s">
        <v>381</v>
      </c>
      <c r="D13" s="3" t="s">
        <v>381</v>
      </c>
      <c r="E13" s="3">
        <f>V6周期计划!B8</f>
        <v>1768</v>
      </c>
      <c r="F13" s="3"/>
    </row>
    <row r="14" spans="1:6">
      <c r="A14" s="3">
        <v>11</v>
      </c>
      <c r="B14" s="3" t="s">
        <v>381</v>
      </c>
      <c r="C14" s="3" t="s">
        <v>381</v>
      </c>
      <c r="D14" s="3" t="s">
        <v>381</v>
      </c>
      <c r="E14" s="3">
        <f>V6周期计划!B8</f>
        <v>1768</v>
      </c>
      <c r="F14" s="3"/>
    </row>
    <row r="15" spans="1:6">
      <c r="A15" s="3">
        <v>12</v>
      </c>
      <c r="B15" s="3" t="s">
        <v>381</v>
      </c>
      <c r="C15" s="3" t="s">
        <v>381</v>
      </c>
      <c r="D15" s="3" t="s">
        <v>381</v>
      </c>
      <c r="E15" s="3">
        <f>V6周期计划!B8</f>
        <v>1768</v>
      </c>
      <c r="F15" s="3"/>
    </row>
  </sheetData>
  <mergeCells count="1">
    <mergeCell ref="A1:H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V6周期计划</vt:lpstr>
      <vt:lpstr>V6设置</vt:lpstr>
      <vt:lpstr>V6智能饮食计划</vt:lpstr>
      <vt:lpstr>V6自由组合饮食计划</vt:lpstr>
      <vt:lpstr>V6周期饮食总览</vt:lpstr>
      <vt:lpstr>食物数据库V3</vt:lpstr>
      <vt:lpstr>饮食计划V3</vt:lpstr>
      <vt:lpstr>使用说明</vt:lpstr>
      <vt:lpstr>下拉列表V3</vt:lpstr>
      <vt:lpstr>TDEE减脂计算</vt:lpstr>
      <vt:lpstr>食物换算</vt:lpstr>
      <vt:lpstr>体重趋势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cryst</cp:lastModifiedBy>
  <dcterms:created xsi:type="dcterms:W3CDTF">2026-09-01T01:20:00Z</dcterms:created>
  <dcterms:modified xsi:type="dcterms:W3CDTF">2026-09-01T03:09:37Z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2CFD8B3F823E4631A12CBECFA1BDC5BA_12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